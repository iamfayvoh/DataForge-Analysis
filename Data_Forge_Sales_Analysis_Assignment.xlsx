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_Data_Analytics_Course-main\DataForge\"/>
    </mc:Choice>
  </mc:AlternateContent>
  <xr:revisionPtr revIDLastSave="0" documentId="13_ncr:1_{5B2AF095-C4FF-4CF5-B425-FB389C47B901}" xr6:coauthVersionLast="47" xr6:coauthVersionMax="47" xr10:uidLastSave="{00000000-0000-0000-0000-000000000000}"/>
  <bookViews>
    <workbookView xWindow="-120" yWindow="-120" windowWidth="20730" windowHeight="11160" firstSheet="6" activeTab="7" xr2:uid="{B7B99832-98BA-4CDC-95E2-053366B8A5F6}"/>
  </bookViews>
  <sheets>
    <sheet name="Dashboard" sheetId="6" r:id="rId1"/>
    <sheet name="Summary" sheetId="8" r:id="rId2"/>
    <sheet name="Calculations" sheetId="4" r:id="rId3"/>
    <sheet name="PT_Charts" sheetId="7" r:id="rId4"/>
    <sheet name="Pivot Tables" sheetId="5" r:id="rId5"/>
    <sheet name="Details_cleaned_work" sheetId="3" r:id="rId6"/>
    <sheet name="Details_cleaned" sheetId="1" r:id="rId7"/>
    <sheet name="Data_Quality_Report" sheetId="2" r:id="rId8"/>
  </sheets>
  <calcPr calcId="191029"/>
  <pivotCaches>
    <pivotCache cacheId="1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F16" i="8"/>
  <c r="F17" i="8"/>
  <c r="F18" i="8"/>
  <c r="F14" i="8"/>
  <c r="E15" i="8"/>
  <c r="G15" i="8" s="1"/>
  <c r="E16" i="8"/>
  <c r="G16" i="8" s="1"/>
  <c r="E17" i="8"/>
  <c r="G17" i="8" s="1"/>
  <c r="E18" i="8"/>
  <c r="G18" i="8" s="1"/>
  <c r="E14" i="8"/>
  <c r="G14" i="8" s="1"/>
  <c r="D14" i="8"/>
  <c r="D18" i="8"/>
  <c r="C18" i="8"/>
  <c r="D17" i="8"/>
  <c r="C17" i="8"/>
  <c r="D16" i="8"/>
  <c r="C16" i="8"/>
  <c r="D15" i="8"/>
  <c r="C15" i="8"/>
  <c r="C14" i="8"/>
  <c r="C5" i="4"/>
  <c r="C4" i="4"/>
  <c r="C3" i="4"/>
  <c r="C2" i="4"/>
  <c r="D10" i="4"/>
  <c r="D11" i="4"/>
  <c r="D12" i="4"/>
  <c r="D13" i="4"/>
  <c r="D9" i="4"/>
  <c r="C10" i="4"/>
  <c r="C11" i="4"/>
  <c r="C12" i="4"/>
  <c r="C13" i="4"/>
  <c r="C9" i="4"/>
  <c r="N5" i="4"/>
  <c r="N7" i="4"/>
  <c r="N13" i="4"/>
  <c r="N6" i="4"/>
  <c r="N3" i="4"/>
  <c r="N4" i="4"/>
  <c r="N15" i="4"/>
  <c r="N14" i="4"/>
  <c r="N16" i="4"/>
  <c r="N9" i="4"/>
  <c r="N10" i="4"/>
  <c r="N17" i="4"/>
  <c r="N8" i="4"/>
  <c r="N12" i="4"/>
  <c r="N11" i="4"/>
  <c r="N18" i="4"/>
  <c r="N19" i="4"/>
  <c r="M7" i="4"/>
  <c r="O7" i="4" s="1"/>
  <c r="M13" i="4"/>
  <c r="O13" i="4" s="1"/>
  <c r="M6" i="4"/>
  <c r="O6" i="4" s="1"/>
  <c r="M3" i="4"/>
  <c r="O3" i="4" s="1"/>
  <c r="M4" i="4"/>
  <c r="O4" i="4" s="1"/>
  <c r="M15" i="4"/>
  <c r="O15" i="4" s="1"/>
  <c r="M14" i="4"/>
  <c r="O14" i="4" s="1"/>
  <c r="M16" i="4"/>
  <c r="O16" i="4" s="1"/>
  <c r="M9" i="4"/>
  <c r="O9" i="4" s="1"/>
  <c r="M10" i="4"/>
  <c r="O10" i="4" s="1"/>
  <c r="M17" i="4"/>
  <c r="O17" i="4" s="1"/>
  <c r="M8" i="4"/>
  <c r="O8" i="4" s="1"/>
  <c r="M12" i="4"/>
  <c r="O12" i="4" s="1"/>
  <c r="M11" i="4"/>
  <c r="O11" i="4" s="1"/>
  <c r="M18" i="4"/>
  <c r="O18" i="4" s="1"/>
  <c r="M19" i="4"/>
  <c r="O19" i="4" s="1"/>
  <c r="M5" i="4"/>
  <c r="O5" i="4" s="1"/>
  <c r="C6" i="4"/>
  <c r="C7" i="4"/>
  <c r="A2" i="2" a="1"/>
  <c r="A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<sst xmlns="http://schemas.openxmlformats.org/spreadsheetml/2006/main" count="12709" uniqueCount="596">
  <si>
    <t>order_id</t>
  </si>
  <si>
    <t>amount</t>
  </si>
  <si>
    <t>profit</t>
  </si>
  <si>
    <t>quantity</t>
  </si>
  <si>
    <t>category</t>
  </si>
  <si>
    <t>sub_category</t>
  </si>
  <si>
    <t>payment_mode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</si>
  <si>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</si>
  <si>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</si>
  <si>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</si>
  <si>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</si>
  <si>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</si>
  <si>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</si>
  <si>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</si>
  <si>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</si>
  <si>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</si>
  <si>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</si>
  <si>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</si>
  <si>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</si>
  <si>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</si>
  <si>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</si>
  <si>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</si>
  <si>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</si>
  <si>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</si>
  <si>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</si>
  <si>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</si>
  <si>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</si>
  <si>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</si>
  <si>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</si>
  <si>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</si>
  <si>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Handkerchief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</si>
  <si>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</si>
  <si>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</si>
  <si>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</si>
  <si>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</si>
  <si>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</si>
  <si>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</si>
  <si>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</si>
  <si>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</si>
  <si>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</si>
  <si>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</si>
  <si>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</si>
  <si>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</si>
  <si>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</si>
  <si>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</si>
  <si>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</si>
  <si>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</si>
  <si>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</si>
  <si>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</si>
  <si>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</si>
  <si>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</si>
  <si>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</si>
  <si>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</si>
  <si>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</si>
  <si>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</si>
  <si>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</si>
  <si>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</si>
  <si>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</si>
  <si>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</si>
  <si>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</si>
  <si>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</si>
  <si>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</si>
  <si>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</si>
  <si>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</si>
  <si>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</si>
  <si>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</si>
  <si>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</si>
  <si>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</si>
  <si>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</si>
  <si>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</si>
  <si>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</si>
  <si>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</si>
  <si>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</si>
  <si>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</si>
  <si>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</si>
  <si>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</si>
  <si>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</si>
  <si>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</si>
  <si>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</si>
  <si>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</si>
  <si>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</si>
  <si>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</si>
  <si>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</si>
  <si>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</si>
  <si>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</si>
  <si>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</si>
  <si>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</si>
  <si>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</si>
  <si>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</si>
  <si>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</si>
  <si>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</si>
  <si>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</si>
  <si>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</si>
  <si>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</si>
  <si>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</si>
  <si>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</si>
  <si>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</si>
  <si>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</si>
  <si>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</si>
  <si>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</si>
  <si>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</si>
  <si>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</si>
  <si>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</si>
  <si>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</si>
  <si>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</si>
  <si>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</si>
  <si>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</si>
  <si>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</si>
  <si>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</si>
  <si>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</si>
  <si>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</si>
  <si>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</si>
  <si>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</si>
  <si>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</si>
  <si>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</si>
  <si>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</si>
  <si>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</si>
  <si>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</si>
  <si>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</si>
  <si>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</si>
  <si>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</si>
  <si>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</si>
  <si>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</si>
  <si>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</si>
  <si>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</si>
  <si>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</si>
  <si>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</si>
  <si>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</si>
  <si>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</si>
  <si>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</si>
  <si>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</si>
  <si>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</si>
  <si>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</si>
  <si>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</si>
  <si>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</si>
  <si>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</si>
  <si>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</si>
  <si>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</si>
  <si>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</si>
  <si>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</si>
  <si>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</si>
  <si>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</si>
  <si>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</si>
  <si>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</si>
  <si>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</si>
  <si>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</si>
  <si>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</si>
  <si>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</si>
  <si>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</si>
  <si>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</si>
  <si>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</si>
  <si>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</si>
  <si>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</si>
  <si>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</si>
  <si>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</si>
  <si>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</si>
  <si>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</si>
  <si>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</si>
  <si>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</si>
  <si>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</si>
  <si>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</si>
  <si>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</si>
  <si>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</si>
  <si>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</si>
  <si>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</si>
  <si>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</si>
  <si>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</si>
  <si>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</si>
  <si>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</si>
  <si>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</si>
  <si>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</si>
  <si>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</si>
  <si>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</si>
  <si>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</si>
  <si>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</si>
  <si>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</si>
  <si>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</si>
  <si>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</si>
  <si>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</si>
  <si>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</si>
  <si>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</si>
  <si>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</si>
  <si>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</si>
  <si>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</si>
  <si>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</si>
  <si>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</si>
  <si>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</si>
  <si>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</si>
  <si>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</si>
  <si>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</si>
  <si>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</si>
  <si>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</si>
  <si>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</si>
  <si>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</si>
  <si>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</si>
  <si>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</si>
  <si>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</si>
  <si>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</si>
  <si>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</si>
  <si>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</si>
  <si>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</si>
  <si>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</si>
  <si>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</si>
  <si>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</si>
  <si>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</si>
  <si>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</si>
  <si>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</si>
  <si>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</si>
  <si>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</si>
  <si>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</si>
  <si>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</si>
  <si>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</si>
  <si>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</si>
  <si>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</si>
  <si>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</si>
  <si>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</si>
  <si>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</si>
  <si>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</si>
  <si>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</si>
  <si>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</si>
  <si>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</si>
  <si>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</si>
  <si>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</si>
  <si>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</si>
  <si>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</si>
  <si>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</si>
  <si>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</si>
  <si>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</si>
  <si>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</si>
  <si>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</si>
  <si>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</si>
  <si>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</si>
  <si>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</si>
  <si>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</si>
  <si>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</si>
  <si>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</si>
  <si>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</si>
  <si>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</si>
  <si>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</si>
  <si>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</si>
  <si>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</si>
  <si>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</si>
  <si>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</si>
  <si>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</si>
  <si>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</si>
  <si>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</si>
  <si>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</si>
  <si>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</si>
  <si>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</si>
  <si>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</si>
  <si>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</si>
  <si>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</si>
  <si>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</si>
  <si>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</si>
  <si>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</si>
  <si>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</si>
  <si>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</si>
  <si>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</si>
  <si>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</si>
  <si>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</si>
  <si>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</si>
  <si>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</si>
  <si>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</si>
  <si>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</si>
  <si>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</si>
  <si>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</si>
  <si>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</si>
  <si>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</si>
  <si>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</si>
  <si>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</si>
  <si>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</si>
  <si>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</si>
  <si>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</si>
  <si>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</si>
  <si>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</si>
  <si>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</si>
  <si>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</si>
  <si>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</si>
  <si>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</si>
  <si>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</si>
  <si>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</si>
  <si>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</si>
  <si>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</si>
  <si>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</si>
  <si>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</si>
  <si>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</si>
  <si>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</si>
  <si>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</si>
  <si>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</si>
  <si>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</si>
  <si>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</si>
  <si>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</si>
  <si>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</si>
  <si>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</si>
  <si>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</si>
  <si>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</si>
  <si>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</si>
  <si>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</si>
  <si>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</si>
  <si>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</si>
  <si>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</si>
  <si>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</si>
  <si>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</si>
  <si>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</si>
  <si>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</si>
  <si>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</si>
  <si>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</si>
  <si>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</si>
  <si>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</si>
  <si>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</si>
  <si>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</si>
  <si>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</si>
  <si>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</si>
  <si>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</si>
  <si>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</si>
  <si>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</si>
  <si>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</si>
  <si>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</si>
  <si>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</si>
  <si>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</si>
  <si>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</si>
  <si>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</si>
  <si>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</si>
  <si>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</si>
  <si>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</si>
  <si>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</si>
  <si>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</si>
  <si>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</si>
  <si>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</si>
  <si>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</si>
  <si>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</si>
  <si>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</si>
  <si>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</si>
  <si>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</si>
  <si>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</si>
  <si>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</si>
  <si>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</si>
  <si>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</si>
  <si>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</si>
  <si>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</si>
  <si>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</si>
  <si>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</si>
  <si>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</si>
  <si>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</si>
  <si>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</si>
  <si>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</si>
  <si>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</si>
  <si>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</si>
  <si>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</si>
  <si>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</si>
  <si>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</si>
  <si>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</si>
  <si>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</si>
  <si>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</si>
  <si>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</si>
  <si>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</si>
  <si>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</si>
  <si>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</si>
  <si>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</si>
  <si>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</si>
  <si>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</si>
  <si>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</si>
  <si>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</si>
  <si>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</si>
  <si>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</si>
  <si>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</si>
  <si>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</si>
  <si>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</si>
  <si>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</si>
  <si>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</si>
  <si>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</si>
  <si>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</si>
  <si>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</si>
  <si>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</si>
  <si>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</si>
  <si>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</si>
  <si>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</si>
  <si>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</si>
  <si>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</si>
  <si>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</si>
  <si>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</si>
  <si>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</si>
  <si>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</si>
  <si>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</si>
  <si>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</si>
  <si>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</si>
  <si>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</si>
  <si>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</si>
  <si>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</si>
  <si>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</si>
  <si>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</si>
  <si>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</si>
  <si>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</si>
  <si>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</si>
  <si>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</si>
  <si>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</si>
  <si>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</si>
  <si>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</si>
  <si>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</si>
  <si>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</si>
  <si>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</si>
  <si>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</si>
  <si>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</si>
  <si>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</si>
  <si>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</si>
  <si>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</si>
  <si>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</si>
  <si>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</si>
  <si>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</si>
  <si>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</si>
  <si>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</si>
  <si>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</si>
  <si>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</si>
  <si>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</si>
  <si>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</si>
  <si>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</si>
  <si>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</si>
  <si>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</si>
  <si>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</si>
  <si>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</si>
  <si>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</si>
  <si>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</si>
  <si>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</si>
  <si>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</si>
  <si>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</si>
  <si>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</si>
  <si>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</si>
  <si>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</si>
  <si>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</si>
  <si>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</si>
  <si>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</si>
  <si>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</si>
  <si>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</si>
  <si>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</si>
  <si>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</si>
  <si>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</si>
  <si>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</si>
  <si>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</si>
  <si>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</si>
  <si>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</si>
  <si>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</si>
  <si>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</si>
  <si>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</si>
  <si>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</si>
  <si>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</si>
  <si>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</si>
  <si>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</si>
  <si>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</si>
  <si>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</si>
  <si>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</si>
  <si>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</si>
  <si>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</si>
  <si>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</si>
  <si>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</si>
  <si>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</si>
  <si>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</si>
  <si>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</si>
  <si>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</si>
  <si>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</si>
  <si>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</si>
  <si>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</si>
  <si>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</si>
  <si>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</si>
  <si>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</si>
  <si>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</si>
  <si>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</si>
  <si>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</si>
  <si>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</si>
  <si>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</si>
  <si>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</si>
  <si>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</si>
  <si>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</si>
  <si>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</si>
  <si>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</si>
  <si>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</si>
  <si>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</si>
  <si>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</si>
  <si>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</si>
  <si>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</si>
  <si>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</si>
  <si>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</si>
  <si>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</si>
  <si>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</si>
  <si>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</si>
  <si>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</si>
  <si>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</si>
  <si>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</si>
  <si>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</si>
  <si>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</si>
  <si>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</si>
  <si>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</si>
  <si>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</si>
  <si>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</si>
  <si>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</si>
  <si>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</si>
  <si>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</si>
  <si>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</si>
  <si>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</si>
  <si>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</si>
  <si>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</si>
  <si>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</si>
  <si>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</si>
  <si>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</si>
  <si>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</si>
  <si>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</si>
  <si>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</si>
  <si>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</si>
  <si>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</si>
  <si>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</si>
  <si>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</si>
  <si>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</si>
  <si>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</si>
  <si>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</si>
  <si>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</si>
  <si>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</si>
  <si>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</si>
  <si>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</si>
  <si>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</si>
  <si>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</si>
  <si>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</si>
  <si>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</si>
  <si>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</si>
  <si>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</si>
  <si>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</si>
  <si>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</si>
  <si>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</si>
  <si>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</si>
  <si>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</si>
  <si>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</si>
  <si>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</si>
  <si>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</si>
  <si>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</si>
  <si>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The data was visually scanned for data quality issues of which none was seen or observed</t>
  </si>
  <si>
    <t>The dataset was then converted to an excel table then another visual scan was done this time with the help for filters</t>
  </si>
  <si>
    <t>The sheet was duplicated in order to preserve the initial dataset incase of future problems and renamed "Data_cleaned_work"</t>
  </si>
  <si>
    <t>From the readme provided, it show that the dataset was already cleaned, and after visual scan, I confirmed that</t>
  </si>
  <si>
    <t>Data types for amount and profit was changed to currency and that of quantity was changed to number</t>
  </si>
  <si>
    <t>Total revenue</t>
  </si>
  <si>
    <t>Net Profit</t>
  </si>
  <si>
    <t>Profit Margin</t>
  </si>
  <si>
    <t>A new sheet "Calculations was created to calculate metrics</t>
  </si>
  <si>
    <t>Total Quantity Sold</t>
  </si>
  <si>
    <t>Row Labels</t>
  </si>
  <si>
    <t>Grand Total</t>
  </si>
  <si>
    <t>Total Unique Orders</t>
  </si>
  <si>
    <t>Average Oeder Value</t>
  </si>
  <si>
    <t>Sum of profit</t>
  </si>
  <si>
    <t>Sum of quantity</t>
  </si>
  <si>
    <t>Sum of amount</t>
  </si>
  <si>
    <t>Sum of Profit Margin</t>
  </si>
  <si>
    <t>Count of order_id</t>
  </si>
  <si>
    <t>Average of Profit Margin</t>
  </si>
  <si>
    <t>Count of quantity</t>
  </si>
  <si>
    <t>b</t>
  </si>
  <si>
    <t>c</t>
  </si>
  <si>
    <t>a</t>
  </si>
  <si>
    <t>Average of amount</t>
  </si>
  <si>
    <t>quantity_rank</t>
  </si>
  <si>
    <t>profit_rank</t>
  </si>
  <si>
    <t>rank_gap</t>
  </si>
  <si>
    <t xml:space="preserve"> </t>
  </si>
  <si>
    <t>Profit Leaks</t>
  </si>
  <si>
    <t>Sub-category with negative profit</t>
  </si>
  <si>
    <t>Sub-category</t>
  </si>
  <si>
    <t>Revenue</t>
  </si>
  <si>
    <t>Profit</t>
  </si>
  <si>
    <t>Qty_sold</t>
  </si>
  <si>
    <t>Profit_margin</t>
  </si>
  <si>
    <t>Category</t>
  </si>
  <si>
    <t>Identifying Profit Leak from Payment Method</t>
  </si>
  <si>
    <t>Payment Method</t>
  </si>
  <si>
    <t>Negative Profit</t>
  </si>
  <si>
    <t>Key Insights</t>
  </si>
  <si>
    <t>Clothings category has the highest profit leak and also profit margin when summed.</t>
  </si>
  <si>
    <t>Count Of -ve Order_ID</t>
  </si>
  <si>
    <t>Ttl Order-Id</t>
  </si>
  <si>
    <t>Failure Margin</t>
  </si>
  <si>
    <t xml:space="preserve">COD is the most used payment method </t>
  </si>
  <si>
    <t>COD has highest amount of transactions that led to profit leaks (244)</t>
  </si>
  <si>
    <t>UPI had the hghestfailure margin i.e the ratio of orders processed with negative profit to total orders processed (37.16%).</t>
  </si>
  <si>
    <t>Comparing the negative order count to the total orders, an increasing rate of usage of UPI will yield high negative orders</t>
  </si>
  <si>
    <t>Recommendations</t>
  </si>
  <si>
    <t>(All)</t>
  </si>
  <si>
    <t>For profit leaks sub-categories, audit the cost of each item and increase the selling price</t>
  </si>
  <si>
    <t>For already profitable sub-categories, create a floor price that must not be exceeded even when discounts are given in order to maintain profitability and also recover loses for other sub-categories</t>
  </si>
  <si>
    <t>Also, drive focus to best selling categories. Increase products variety and invest in marketing and advertisement since its  already a high demand and selling product</t>
  </si>
  <si>
    <t>Products</t>
  </si>
  <si>
    <t>Payment Options</t>
  </si>
  <si>
    <t>For COD, increae tax or fee for each delivery.</t>
  </si>
  <si>
    <t>For UPI, renegotiate with UPI gateway provider and cross check taxes</t>
  </si>
  <si>
    <t>Since Credit Card is the best performer, offer a discount on purchases paid with credit card. This way, more orders will be placed using credits cards instead of COD or UPI.</t>
  </si>
  <si>
    <t>Profit Loss by payment methods</t>
  </si>
  <si>
    <t>A new sheet was created "Pivot Tables" to easily identipy profit and loss indicatos</t>
  </si>
  <si>
    <t>A new sheet "PT_Chart" was created to create pivot table charts to be represented on the dashboard</t>
  </si>
  <si>
    <t>A new sheet for dashboard was created</t>
  </si>
  <si>
    <t>A snew sheet for summary, insights and recommendations was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</si>
</sst>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-4009]\ #,##0"/>
    <numFmt numFmtId="165" formatCode="[$₹-4009]\ #,##0.00"/>
    <numFmt numFmtId="166" formatCode="[$₹-4009]\ #,##0.0,&quot;K&quot;"/>
    <numFmt numFmtId="167" formatCode="#,###.0,&quot;K Units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C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Font="1"/>
    <xf numFmtId="164" fontId="0" fillId="0" borderId="0" xfId="0" applyNumberFormat="1" applyFont="1"/>
    <xf numFmtId="0" fontId="18" fillId="0" borderId="0" xfId="0" applyFont="1"/>
    <xf numFmtId="0" fontId="16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4" formatCode="0.00%"/>
    </dxf>
    <dxf>
      <numFmt numFmtId="1" formatCode="0"/>
    </dxf>
    <dxf>
      <numFmt numFmtId="164" formatCode="[$₹-4009]\ #,##0"/>
    </dxf>
    <dxf>
      <numFmt numFmtId="164" formatCode="[$₹-4009]\ #,##0"/>
    </dxf>
    <dxf>
      <alignment horizontal="left" vertical="bottom" textRotation="0" wrapText="0" indent="0" justifyLastLine="0" shrinkToFit="0" readingOrder="0"/>
    </dxf>
    <dxf>
      <numFmt numFmtId="1" formatCode="0"/>
    </dxf>
    <dxf>
      <numFmt numFmtId="164" formatCode="[$₹-4009]\ #,##0"/>
    </dxf>
    <dxf>
      <numFmt numFmtId="164" formatCode="[$₹-4009]\ #,##0"/>
    </dxf>
  </dxfs>
  <tableStyles count="0" defaultTableStyle="TableStyleMedium2" defaultPivotStyle="PivotStyleLight16"/>
  <colors>
    <mruColors>
      <color rgb="FFFFFFFF"/>
      <color rgb="FFEF97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[Details_cleaned(AutoRecovered)(AutoRecovered).xlsx]PT_Charts!PivotTable2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/>
                </a:solidFill>
              </a:rPr>
              <a:t>Profit By Category</a:t>
            </a:r>
            <a:r>
              <a:rPr lang="en-US" sz="1600" b="1" baseline="0">
                <a:solidFill>
                  <a:schemeClr val="accent1"/>
                </a:solidFill>
              </a:rPr>
              <a:t> &amp; Quantity Sold</a:t>
            </a:r>
            <a:endParaRPr lang="en-US" sz="1600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₹-4009]\ 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PT_Charts!$E$3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₹-4009]\ #,##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PT_Charts!$D$4:$D$7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PT_Charts!$E$4:$E$7</c:f>
              <c:numCache>
                <c:formatCode>[$₹-4009]\ #,##0</c:formatCode>
                <c:ptCount val="3"/>
                <c:pt idx="0">
                  <c:v>13325</c:v>
                </c:pt>
                <c:pt idx="1">
                  <c:v>13162</c:v>
                </c:pt>
                <c:pt idx="2">
                  <c:v>10476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B-4FDE-803B-500DF070D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164278639"/>
        <c:axId val="1164274799"/>
      </c:barChart>
      <c:barChart>
        <c:barDir val="col"/>
        <c:grouping val="clustered"/>
        <c:varyColors val="0"/>
        <c:ser>
          <c:idx val="1"/>
          <c:order val="1"/>
          <c:tx>
            <c:strRef>
              <c:f>PT_Charts!$F$3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PT_Charts!$D$4:$D$7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PT_Charts!$F$4:$F$7</c:f>
              <c:numCache>
                <c:formatCode>0</c:formatCode>
                <c:ptCount val="3"/>
                <c:pt idx="0">
                  <c:v>3516</c:v>
                </c:pt>
                <c:pt idx="1">
                  <c:v>1154</c:v>
                </c:pt>
                <c:pt idx="2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FB-4FDE-803B-500DF070D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153984015"/>
        <c:axId val="1153983535"/>
      </c:barChart>
      <c:catAx>
        <c:axId val="116427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74799"/>
        <c:crosses val="autoZero"/>
        <c:auto val="1"/>
        <c:lblAlgn val="ctr"/>
        <c:lblOffset val="100"/>
        <c:noMultiLvlLbl val="0"/>
      </c:catAx>
      <c:valAx>
        <c:axId val="1164274799"/>
        <c:scaling>
          <c:orientation val="minMax"/>
          <c:min val="4000"/>
        </c:scaling>
        <c:delete val="0"/>
        <c:axPos val="l"/>
        <c:numFmt formatCode="[$₹-4009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78639"/>
        <c:crosses val="autoZero"/>
        <c:crossBetween val="between"/>
        <c:majorUnit val="2000"/>
      </c:valAx>
      <c:valAx>
        <c:axId val="1153983535"/>
        <c:scaling>
          <c:orientation val="minMax"/>
          <c:min val="50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84015"/>
        <c:crosses val="max"/>
        <c:crossBetween val="between"/>
        <c:majorUnit val="1000"/>
      </c:valAx>
      <c:catAx>
        <c:axId val="1153984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39835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[Details_cleaned(AutoRecovered)(AutoRecovered).xlsx]PT_Charts!PivotTable3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2"/>
                </a:solidFill>
              </a:rPr>
              <a:t>Profit By</a:t>
            </a:r>
            <a:r>
              <a:rPr lang="en-US" sz="1400" b="1" baseline="0">
                <a:solidFill>
                  <a:schemeClr val="tx2"/>
                </a:solidFill>
              </a:rPr>
              <a:t> </a:t>
            </a:r>
            <a:r>
              <a:rPr lang="en-US" sz="1400" b="1">
                <a:solidFill>
                  <a:schemeClr val="tx2"/>
                </a:solidFill>
              </a:rPr>
              <a:t>Payment</a:t>
            </a:r>
            <a:r>
              <a:rPr lang="en-US" sz="1400" b="1" baseline="0">
                <a:solidFill>
                  <a:schemeClr val="tx2"/>
                </a:solidFill>
              </a:rPr>
              <a:t> </a:t>
            </a:r>
            <a:r>
              <a:rPr lang="en-US" sz="1400" b="1">
                <a:solidFill>
                  <a:schemeClr val="tx2"/>
                </a:solidFill>
              </a:rPr>
              <a:t>Method &amp; Quantity Sold</a:t>
            </a:r>
          </a:p>
        </c:rich>
      </c:tx>
      <c:layout>
        <c:manualLayout>
          <c:xMode val="edge"/>
          <c:yMode val="edge"/>
          <c:x val="0.20200619254169933"/>
          <c:y val="2.8664347536474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₹-4009]\ 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2783373096966973E-3"/>
              <c:y val="7.01733640378977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8925494420103107E-3"/>
              <c:y val="-0.13967690625582707"/>
            </c:manualLayout>
          </c:layout>
          <c:numFmt formatCode="[$₹-4009]\ 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5220143925592225E-3"/>
              <c:y val="7.9432619677633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92974279486961"/>
          <c:y val="0.10702901720618256"/>
          <c:w val="0.8096047045696978"/>
          <c:h val="0.785941965587634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PT_Charts!$E$10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4.8925494420103107E-3"/>
                  <c:y val="-0.139676906255827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10-4C64-B620-30F9098FD78B}"/>
                </c:ext>
              </c:extLst>
            </c:dLbl>
            <c:numFmt formatCode="[$₹-4009]\ #,##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PT_Charts!$D$11:$D$16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PT_Charts!$E$11:$E$16</c:f>
              <c:numCache>
                <c:formatCode>[$₹-4009]\ #,##0</c:formatCode>
                <c:ptCount val="5"/>
                <c:pt idx="0">
                  <c:v>12547</c:v>
                </c:pt>
                <c:pt idx="1">
                  <c:v>12612</c:v>
                </c:pt>
                <c:pt idx="2">
                  <c:v>3694</c:v>
                </c:pt>
                <c:pt idx="3">
                  <c:v>4824</c:v>
                </c:pt>
                <c:pt idx="4">
                  <c:v>3286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0-4C64-B620-30F9098FD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153985455"/>
        <c:axId val="1153984975"/>
      </c:barChart>
      <c:barChart>
        <c:barDir val="col"/>
        <c:grouping val="clustered"/>
        <c:varyColors val="0"/>
        <c:ser>
          <c:idx val="1"/>
          <c:order val="1"/>
          <c:tx>
            <c:strRef>
              <c:f>PT_Charts!$F$10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3.5220143925592225E-3"/>
                  <c:y val="7.94326196776332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10-4C64-B620-30F9098FD78B}"/>
                </c:ext>
              </c:extLst>
            </c:dLbl>
            <c:dLbl>
              <c:idx val="4"/>
              <c:layout>
                <c:manualLayout>
                  <c:x val="6.2783373096966973E-3"/>
                  <c:y val="7.0173364037897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10-4C64-B620-30F9098FD7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PT_Charts!$D$11:$D$16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PT_Charts!$F$11:$F$16</c:f>
              <c:numCache>
                <c:formatCode>0</c:formatCode>
                <c:ptCount val="5"/>
                <c:pt idx="0">
                  <c:v>2456</c:v>
                </c:pt>
                <c:pt idx="1">
                  <c:v>672</c:v>
                </c:pt>
                <c:pt idx="2">
                  <c:v>741</c:v>
                </c:pt>
                <c:pt idx="3">
                  <c:v>589</c:v>
                </c:pt>
                <c:pt idx="4">
                  <c:v>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0-4C64-B620-30F9098FD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153976815"/>
        <c:axId val="1153974895"/>
      </c:barChart>
      <c:catAx>
        <c:axId val="115398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84975"/>
        <c:crosses val="autoZero"/>
        <c:auto val="1"/>
        <c:lblAlgn val="ctr"/>
        <c:lblOffset val="100"/>
        <c:noMultiLvlLbl val="0"/>
      </c:catAx>
      <c:valAx>
        <c:axId val="1153984975"/>
        <c:scaling>
          <c:orientation val="minMax"/>
        </c:scaling>
        <c:delete val="0"/>
        <c:axPos val="l"/>
        <c:numFmt formatCode="[$₹-4009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85455"/>
        <c:crosses val="autoZero"/>
        <c:crossBetween val="between"/>
      </c:valAx>
      <c:valAx>
        <c:axId val="1153974895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76815"/>
        <c:crosses val="max"/>
        <c:crossBetween val="between"/>
        <c:majorUnit val="500"/>
      </c:valAx>
      <c:catAx>
        <c:axId val="115397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3974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[Details_cleaned(AutoRecovered)(AutoRecovered).xlsx]PT_Charts!PivotTable1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accent1"/>
                </a:solidFill>
              </a:rPr>
              <a:t>Top</a:t>
            </a:r>
            <a:r>
              <a:rPr lang="en-US" sz="1400" b="1" baseline="0">
                <a:solidFill>
                  <a:schemeClr val="accent1"/>
                </a:solidFill>
              </a:rPr>
              <a:t> 5 Sub-Categories By Profit</a:t>
            </a:r>
            <a:endParaRPr lang="en-US" sz="1400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₹-4009]\ 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43601054838302"/>
          <c:y val="0.1752711298032224"/>
          <c:w val="0.806563989451617"/>
          <c:h val="0.786367496192622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PT_Charts!$B$3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₹-4009]\ #,##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PT_Charts!$A$4:$A$9</c:f>
              <c:strCache>
                <c:ptCount val="5"/>
                <c:pt idx="0">
                  <c:v>Accessories</c:v>
                </c:pt>
                <c:pt idx="1">
                  <c:v>Bookcases</c:v>
                </c:pt>
                <c:pt idx="2">
                  <c:v>Printers</c:v>
                </c:pt>
                <c:pt idx="3">
                  <c:v>Saree</c:v>
                </c:pt>
                <c:pt idx="4">
                  <c:v>Tables</c:v>
                </c:pt>
              </c:strCache>
            </c:strRef>
          </c:cat>
          <c:val>
            <c:numRef>
              <c:f>PT_Charts!$B$4:$B$9</c:f>
              <c:numCache>
                <c:formatCode>[$₹-4009]\ #,##0</c:formatCode>
                <c:ptCount val="5"/>
                <c:pt idx="0">
                  <c:v>3353</c:v>
                </c:pt>
                <c:pt idx="1">
                  <c:v>6516</c:v>
                </c:pt>
                <c:pt idx="2">
                  <c:v>8606</c:v>
                </c:pt>
                <c:pt idx="3">
                  <c:v>4057</c:v>
                </c:pt>
                <c:pt idx="4">
                  <c:v>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C-4167-BEFA-77A2BC137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962565503"/>
        <c:axId val="962566463"/>
      </c:barChart>
      <c:catAx>
        <c:axId val="9625655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66463"/>
        <c:crosses val="autoZero"/>
        <c:auto val="1"/>
        <c:lblAlgn val="ctr"/>
        <c:lblOffset val="100"/>
        <c:noMultiLvlLbl val="0"/>
      </c:catAx>
      <c:valAx>
        <c:axId val="962566463"/>
        <c:scaling>
          <c:orientation val="minMax"/>
        </c:scaling>
        <c:delete val="1"/>
        <c:axPos val="b"/>
        <c:numFmt formatCode="[$₹-4009]\ #,##0" sourceLinked="1"/>
        <c:majorTickMark val="none"/>
        <c:minorTickMark val="none"/>
        <c:tickLblPos val="nextTo"/>
        <c:crossAx val="96256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[Details_cleaned(AutoRecovered)(AutoRecovered).xlsx]PT_Charts!PivotTable5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1"/>
                </a:solidFill>
              </a:rPr>
              <a:t>Top  3 Products By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PT_Charts!$H$19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PT_Charts!$G$20:$G$23</c:f>
              <c:strCache>
                <c:ptCount val="3"/>
                <c:pt idx="0">
                  <c:v>Handkerchief</c:v>
                </c:pt>
                <c:pt idx="1">
                  <c:v>Saree</c:v>
                </c:pt>
                <c:pt idx="2">
                  <c:v>Stole</c:v>
                </c:pt>
              </c:strCache>
            </c:strRef>
          </c:cat>
          <c:val>
            <c:numRef>
              <c:f>PT_Charts!$H$20:$H$23</c:f>
              <c:numCache>
                <c:formatCode>0</c:formatCode>
                <c:ptCount val="3"/>
                <c:pt idx="0">
                  <c:v>741</c:v>
                </c:pt>
                <c:pt idx="1">
                  <c:v>795</c:v>
                </c:pt>
                <c:pt idx="2">
                  <c:v>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1-4042-9C1F-A05E4CA32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166067503"/>
        <c:axId val="1166070863"/>
      </c:barChart>
      <c:catAx>
        <c:axId val="11660675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70863"/>
        <c:crosses val="autoZero"/>
        <c:auto val="1"/>
        <c:lblAlgn val="ctr"/>
        <c:lblOffset val="100"/>
        <c:noMultiLvlLbl val="0"/>
      </c:catAx>
      <c:valAx>
        <c:axId val="1166070863"/>
        <c:scaling>
          <c:orientation val="minMax"/>
          <c:max val="820"/>
          <c:min val="640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67503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81642</xdr:colOff>
      <xdr:row>47</xdr:row>
      <xdr:rowOff>81643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CE8930-D4D6-CCEB-52C7-4348AAF8B8B1}"/>
            </a:ext>
          </a:extLst>
        </xdr:cNvPr>
        <xdr:cNvSpPr/>
      </xdr:nvSpPr>
      <xdr:spPr>
        <a:xfrm>
          <a:off x="0" y="0"/>
          <a:ext cx="16614321" cy="903514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285890</xdr:colOff>
      <xdr:row>2</xdr:row>
      <xdr:rowOff>149679</xdr:rowOff>
    </xdr:from>
    <xdr:to>
      <xdr:col>26</xdr:col>
      <xdr:colOff>8031</xdr:colOff>
      <xdr:row>44</xdr:row>
      <xdr:rowOff>27214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C1258727-BCF2-61DE-5B0A-A5B56812A2BB}"/>
            </a:ext>
          </a:extLst>
        </xdr:cNvPr>
        <xdr:cNvGrpSpPr/>
      </xdr:nvGrpSpPr>
      <xdr:grpSpPr>
        <a:xfrm>
          <a:off x="1510533" y="530679"/>
          <a:ext cx="14417855" cy="7878535"/>
          <a:chOff x="1510533" y="530679"/>
          <a:chExt cx="14417855" cy="787853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438ED4A-034C-BC1F-6855-79CC33E6A2DC}"/>
              </a:ext>
            </a:extLst>
          </xdr:cNvPr>
          <xdr:cNvSpPr/>
        </xdr:nvSpPr>
        <xdr:spPr>
          <a:xfrm>
            <a:off x="1510533" y="530679"/>
            <a:ext cx="14417855" cy="7878535"/>
          </a:xfrm>
          <a:prstGeom prst="rect">
            <a:avLst/>
          </a:prstGeom>
          <a:solidFill>
            <a:srgbClr val="EF976B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F90221F4-2173-201C-8875-4E288AB69377}"/>
              </a:ext>
            </a:extLst>
          </xdr:cNvPr>
          <xdr:cNvGrpSpPr/>
        </xdr:nvGrpSpPr>
        <xdr:grpSpPr>
          <a:xfrm>
            <a:off x="1847589" y="693964"/>
            <a:ext cx="13982906" cy="7538357"/>
            <a:chOff x="1796141" y="693964"/>
            <a:chExt cx="13593538" cy="7538357"/>
          </a:xfrm>
        </xdr:grpSpPr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F2801B8C-952D-C66C-E43E-21E5CE46B552}"/>
                </a:ext>
              </a:extLst>
            </xdr:cNvPr>
            <xdr:cNvGrpSpPr/>
          </xdr:nvGrpSpPr>
          <xdr:grpSpPr>
            <a:xfrm>
              <a:off x="1796141" y="693964"/>
              <a:ext cx="9593038" cy="625931"/>
              <a:chOff x="1796141" y="693964"/>
              <a:chExt cx="9171216" cy="625931"/>
            </a:xfrm>
          </xdr:grpSpPr>
          <xdr:sp macro="" textlink="">
            <xdr:nvSpPr>
              <xdr:cNvPr id="5" name="Rectangle 4">
                <a:extLst>
                  <a:ext uri="{FF2B5EF4-FFF2-40B4-BE49-F238E27FC236}">
                    <a16:creationId xmlns:a16="http://schemas.microsoft.com/office/drawing/2014/main" id="{93D6BE5B-D01D-F096-82E6-21AFF646FB94}"/>
                  </a:ext>
                </a:extLst>
              </xdr:cNvPr>
              <xdr:cNvSpPr/>
            </xdr:nvSpPr>
            <xdr:spPr>
              <a:xfrm>
                <a:off x="1796141" y="693964"/>
                <a:ext cx="9171216" cy="585107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28EDE95E-0484-7394-0505-1459DDD06F08}"/>
                  </a:ext>
                </a:extLst>
              </xdr:cNvPr>
              <xdr:cNvSpPr txBox="1"/>
            </xdr:nvSpPr>
            <xdr:spPr>
              <a:xfrm>
                <a:off x="2041071" y="748395"/>
                <a:ext cx="8681358" cy="5715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2800" b="1">
                    <a:solidFill>
                      <a:schemeClr val="tx2"/>
                    </a:solidFill>
                  </a:rPr>
                  <a:t>E-COMMERCE SALES &amp;</a:t>
                </a:r>
                <a:r>
                  <a:rPr lang="en-US" sz="2800" b="1" baseline="0">
                    <a:solidFill>
                      <a:schemeClr val="tx2"/>
                    </a:solidFill>
                  </a:rPr>
                  <a:t> PROFITABILITY ANALYSIS (EXCEL)</a:t>
                </a:r>
                <a:endParaRPr lang="en-US" sz="2800" b="1">
                  <a:solidFill>
                    <a:schemeClr val="tx2"/>
                  </a:solidFill>
                </a:endParaRPr>
              </a:p>
            </xdr:txBody>
          </xdr:sp>
        </xdr:grpSp>
        <xdr:grpSp>
          <xdr:nvGrpSpPr>
            <xdr:cNvPr id="40" name="Group 39">
              <a:extLst>
                <a:ext uri="{FF2B5EF4-FFF2-40B4-BE49-F238E27FC236}">
                  <a16:creationId xmlns:a16="http://schemas.microsoft.com/office/drawing/2014/main" id="{DA5CB649-EB6F-87C6-B5BC-241A7D34AE52}"/>
                </a:ext>
              </a:extLst>
            </xdr:cNvPr>
            <xdr:cNvGrpSpPr/>
          </xdr:nvGrpSpPr>
          <xdr:grpSpPr>
            <a:xfrm>
              <a:off x="11525250" y="740225"/>
              <a:ext cx="3864429" cy="5206096"/>
              <a:chOff x="11525250" y="740225"/>
              <a:chExt cx="3864429" cy="5206096"/>
            </a:xfrm>
          </xdr:grpSpPr>
          <xdr:sp macro="" textlink="">
            <xdr:nvSpPr>
              <xdr:cNvPr id="7" name="Rectangle 6">
                <a:extLst>
                  <a:ext uri="{FF2B5EF4-FFF2-40B4-BE49-F238E27FC236}">
                    <a16:creationId xmlns:a16="http://schemas.microsoft.com/office/drawing/2014/main" id="{A84C839F-DD0B-4269-99B1-4D3CC294CBCD}"/>
                  </a:ext>
                </a:extLst>
              </xdr:cNvPr>
              <xdr:cNvSpPr/>
            </xdr:nvSpPr>
            <xdr:spPr>
              <a:xfrm>
                <a:off x="11525250" y="740225"/>
                <a:ext cx="3864429" cy="5206096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innerShdw blurRad="114300">
                  <a:prstClr val="black"/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25" name="Chart 24">
                <a:extLst>
                  <a:ext uri="{FF2B5EF4-FFF2-40B4-BE49-F238E27FC236}">
                    <a16:creationId xmlns:a16="http://schemas.microsoft.com/office/drawing/2014/main" id="{260E4D86-97DF-4F53-9DF3-734110E1E1B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1634107" y="805541"/>
              <a:ext cx="3646715" cy="507546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</xdr:grpSp>
        <xdr:grpSp>
          <xdr:nvGrpSpPr>
            <xdr:cNvPr id="38" name="Group 37">
              <a:extLst>
                <a:ext uri="{FF2B5EF4-FFF2-40B4-BE49-F238E27FC236}">
                  <a16:creationId xmlns:a16="http://schemas.microsoft.com/office/drawing/2014/main" id="{3531E914-0D19-85DA-2B1F-25E0A5D4B04B}"/>
                </a:ext>
              </a:extLst>
            </xdr:cNvPr>
            <xdr:cNvGrpSpPr/>
          </xdr:nvGrpSpPr>
          <xdr:grpSpPr>
            <a:xfrm>
              <a:off x="1817914" y="2895603"/>
              <a:ext cx="3965122" cy="5336718"/>
              <a:chOff x="1817914" y="2895603"/>
              <a:chExt cx="3965122" cy="5336718"/>
            </a:xfrm>
          </xdr:grpSpPr>
          <xdr:sp macro="" textlink="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A9780E90-69CE-40D8-8420-A496A31212D8}"/>
                  </a:ext>
                </a:extLst>
              </xdr:cNvPr>
              <xdr:cNvSpPr/>
            </xdr:nvSpPr>
            <xdr:spPr>
              <a:xfrm>
                <a:off x="1817914" y="2895603"/>
                <a:ext cx="3965122" cy="5336718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innerShdw blurRad="114300">
                  <a:prstClr val="black"/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28" name="Chart 27">
                <a:extLst>
                  <a:ext uri="{FF2B5EF4-FFF2-40B4-BE49-F238E27FC236}">
                    <a16:creationId xmlns:a16="http://schemas.microsoft.com/office/drawing/2014/main" id="{C49D09F2-A4A2-4461-B45D-20BD342DA2F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936297" y="3005819"/>
              <a:ext cx="3728356" cy="511628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grpSp>
          <xdr:nvGrpSpPr>
            <xdr:cNvPr id="39" name="Group 38">
              <a:extLst>
                <a:ext uri="{FF2B5EF4-FFF2-40B4-BE49-F238E27FC236}">
                  <a16:creationId xmlns:a16="http://schemas.microsoft.com/office/drawing/2014/main" id="{14005594-3C6B-4B05-337F-573B09C91AA0}"/>
                </a:ext>
              </a:extLst>
            </xdr:cNvPr>
            <xdr:cNvGrpSpPr/>
          </xdr:nvGrpSpPr>
          <xdr:grpSpPr>
            <a:xfrm>
              <a:off x="5891893" y="2895603"/>
              <a:ext cx="5538106" cy="2805790"/>
              <a:chOff x="5891893" y="2895603"/>
              <a:chExt cx="5538106" cy="2805790"/>
            </a:xfrm>
          </xdr:grpSpPr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BD95EF33-F741-4ECA-990B-B3CB02BCE58F}"/>
                  </a:ext>
                </a:extLst>
              </xdr:cNvPr>
              <xdr:cNvSpPr/>
            </xdr:nvSpPr>
            <xdr:spPr>
              <a:xfrm>
                <a:off x="5891893" y="2895603"/>
                <a:ext cx="5538106" cy="280579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innerShdw blurRad="114300">
                  <a:prstClr val="black"/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22" name="Chart 21">
                <a:extLst>
                  <a:ext uri="{FF2B5EF4-FFF2-40B4-BE49-F238E27FC236}">
                    <a16:creationId xmlns:a16="http://schemas.microsoft.com/office/drawing/2014/main" id="{ADAFF907-808E-4DB7-B349-D55E22F93DF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28977" y="3007560"/>
              <a:ext cx="5263938" cy="25818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</xdr:grpSp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038F7803-62FC-DDBA-0FE3-A41277D68CE7}"/>
                </a:ext>
              </a:extLst>
            </xdr:cNvPr>
            <xdr:cNvGrpSpPr/>
          </xdr:nvGrpSpPr>
          <xdr:grpSpPr>
            <a:xfrm>
              <a:off x="5891895" y="5783036"/>
              <a:ext cx="5551712" cy="2449285"/>
              <a:chOff x="5891895" y="5783036"/>
              <a:chExt cx="5551712" cy="2449285"/>
            </a:xfrm>
          </xdr:grpSpPr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D5710CCA-D27B-43D7-97EF-B081B9B644EC}"/>
                  </a:ext>
                </a:extLst>
              </xdr:cNvPr>
              <xdr:cNvSpPr/>
            </xdr:nvSpPr>
            <xdr:spPr>
              <a:xfrm>
                <a:off x="5891895" y="5783036"/>
                <a:ext cx="5551712" cy="244928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innerShdw blurRad="114300">
                  <a:prstClr val="black"/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36" name="Chart 35">
                <a:extLst>
                  <a:ext uri="{FF2B5EF4-FFF2-40B4-BE49-F238E27FC236}">
                    <a16:creationId xmlns:a16="http://schemas.microsoft.com/office/drawing/2014/main" id="{546B14C8-DC08-475E-90C2-011B34B2203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966734" y="5891892"/>
              <a:ext cx="5402034" cy="227239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  <xdr:grpSp>
          <xdr:nvGrpSpPr>
            <xdr:cNvPr id="51" name="Group 50">
              <a:extLst>
                <a:ext uri="{FF2B5EF4-FFF2-40B4-BE49-F238E27FC236}">
                  <a16:creationId xmlns:a16="http://schemas.microsoft.com/office/drawing/2014/main" id="{81536087-026D-2515-87BD-A5E9062FB3E8}"/>
                </a:ext>
              </a:extLst>
            </xdr:cNvPr>
            <xdr:cNvGrpSpPr/>
          </xdr:nvGrpSpPr>
          <xdr:grpSpPr>
            <a:xfrm>
              <a:off x="1812471" y="1469577"/>
              <a:ext cx="2343151" cy="1344381"/>
              <a:chOff x="1812471" y="1469577"/>
              <a:chExt cx="2343151" cy="1344381"/>
            </a:xfrm>
          </xdr:grpSpPr>
          <xdr:sp macro="" textlink="">
            <xdr:nvSpPr>
              <xdr:cNvPr id="6" name="Rectangle 5">
                <a:extLst>
                  <a:ext uri="{FF2B5EF4-FFF2-40B4-BE49-F238E27FC236}">
                    <a16:creationId xmlns:a16="http://schemas.microsoft.com/office/drawing/2014/main" id="{1CD3B0AA-64AB-43AE-80E1-7C409470CBE8}"/>
                  </a:ext>
                </a:extLst>
              </xdr:cNvPr>
              <xdr:cNvSpPr/>
            </xdr:nvSpPr>
            <xdr:spPr>
              <a:xfrm>
                <a:off x="1812471" y="1469577"/>
                <a:ext cx="2343151" cy="1344381"/>
              </a:xfrm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  <a:effectLst>
                <a:innerShdw blurRad="114300">
                  <a:prstClr val="black"/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50" name="Group 49">
                <a:extLst>
                  <a:ext uri="{FF2B5EF4-FFF2-40B4-BE49-F238E27FC236}">
                    <a16:creationId xmlns:a16="http://schemas.microsoft.com/office/drawing/2014/main" id="{A606942E-D4CA-A8BB-B46C-0A15F37D18E3}"/>
                  </a:ext>
                </a:extLst>
              </xdr:cNvPr>
              <xdr:cNvGrpSpPr/>
            </xdr:nvGrpSpPr>
            <xdr:grpSpPr>
              <a:xfrm>
                <a:off x="1891392" y="1658711"/>
                <a:ext cx="1945822" cy="922563"/>
                <a:chOff x="1891392" y="1658711"/>
                <a:chExt cx="1945822" cy="922563"/>
              </a:xfrm>
            </xdr:grpSpPr>
            <xdr:sp macro="" textlink="">
              <xdr:nvSpPr>
                <xdr:cNvPr id="41" name="TextBox 40">
                  <a:extLst>
                    <a:ext uri="{FF2B5EF4-FFF2-40B4-BE49-F238E27FC236}">
                      <a16:creationId xmlns:a16="http://schemas.microsoft.com/office/drawing/2014/main" id="{91B93F44-FDBA-BB1D-9505-204B7F07863E}"/>
                    </a:ext>
                  </a:extLst>
                </xdr:cNvPr>
                <xdr:cNvSpPr txBox="1"/>
              </xdr:nvSpPr>
              <xdr:spPr>
                <a:xfrm>
                  <a:off x="1918609" y="1658711"/>
                  <a:ext cx="1646464" cy="2993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800" b="0">
                      <a:solidFill>
                        <a:schemeClr val="tx2"/>
                      </a:solidFill>
                      <a:latin typeface="+mn-lt"/>
                    </a:rPr>
                    <a:t>Total Revenue</a:t>
                  </a:r>
                </a:p>
              </xdr:txBody>
            </xdr:sp>
            <xdr:sp macro="" textlink="Calculations!C2">
              <xdr:nvSpPr>
                <xdr:cNvPr id="45" name="TextBox 44">
                  <a:extLst>
                    <a:ext uri="{FF2B5EF4-FFF2-40B4-BE49-F238E27FC236}">
                      <a16:creationId xmlns:a16="http://schemas.microsoft.com/office/drawing/2014/main" id="{19B1134E-48CD-679D-D32E-5DB59E294DFE}"/>
                    </a:ext>
                  </a:extLst>
                </xdr:cNvPr>
                <xdr:cNvSpPr txBox="1"/>
              </xdr:nvSpPr>
              <xdr:spPr>
                <a:xfrm>
                  <a:off x="1891392" y="1873703"/>
                  <a:ext cx="1945822" cy="70757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fld id="{36BED879-EB22-4B24-97C6-C66779DE670A}" type="TxLink">
                    <a:rPr lang="en-US" sz="3600" b="1" i="0" u="none" strike="noStrike">
                      <a:solidFill>
                        <a:schemeClr val="bg1"/>
                      </a:solidFill>
                      <a:latin typeface="+mj-lt"/>
                    </a:rPr>
                    <a:t>₹ 437.8K</a:t>
                  </a:fld>
                  <a:endParaRPr lang="en-US" sz="3600" b="1">
                    <a:solidFill>
                      <a:schemeClr val="bg1"/>
                    </a:solidFill>
                    <a:latin typeface="+mj-lt"/>
                  </a:endParaRPr>
                </a:p>
              </xdr:txBody>
            </xdr:sp>
          </xdr:grpSp>
        </xdr:grpSp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E66028BB-BCD4-5FFA-A485-4912531D6C96}"/>
                </a:ext>
              </a:extLst>
            </xdr:cNvPr>
            <xdr:cNvGrpSpPr/>
          </xdr:nvGrpSpPr>
          <xdr:grpSpPr>
            <a:xfrm>
              <a:off x="4237267" y="1469577"/>
              <a:ext cx="2343151" cy="1344381"/>
              <a:chOff x="4237267" y="1469577"/>
              <a:chExt cx="2343151" cy="1344381"/>
            </a:xfrm>
          </xdr:grpSpPr>
          <xdr:sp macro="" textlink="">
            <xdr:nvSpPr>
              <xdr:cNvPr id="11" name="Rectangle 10">
                <a:extLst>
                  <a:ext uri="{FF2B5EF4-FFF2-40B4-BE49-F238E27FC236}">
                    <a16:creationId xmlns:a16="http://schemas.microsoft.com/office/drawing/2014/main" id="{13D6C0FB-0B4F-483C-872E-79C0AB4A349E}"/>
                  </a:ext>
                </a:extLst>
              </xdr:cNvPr>
              <xdr:cNvSpPr/>
            </xdr:nvSpPr>
            <xdr:spPr>
              <a:xfrm>
                <a:off x="4237267" y="1469577"/>
                <a:ext cx="2343151" cy="1344381"/>
              </a:xfrm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  <a:effectLst>
                <a:innerShdw blurRad="114300">
                  <a:prstClr val="black"/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52" name="Group 51">
                <a:extLst>
                  <a:ext uri="{FF2B5EF4-FFF2-40B4-BE49-F238E27FC236}">
                    <a16:creationId xmlns:a16="http://schemas.microsoft.com/office/drawing/2014/main" id="{7E70CF3E-A281-B658-0B68-C39E8A7B578F}"/>
                  </a:ext>
                </a:extLst>
              </xdr:cNvPr>
              <xdr:cNvGrpSpPr/>
            </xdr:nvGrpSpPr>
            <xdr:grpSpPr>
              <a:xfrm>
                <a:off x="4316185" y="1658711"/>
                <a:ext cx="1945822" cy="922563"/>
                <a:chOff x="4316185" y="1658711"/>
                <a:chExt cx="1945822" cy="922563"/>
              </a:xfrm>
            </xdr:grpSpPr>
            <xdr:sp macro="" textlink="">
              <xdr:nvSpPr>
                <xdr:cNvPr id="42" name="TextBox 41">
                  <a:extLst>
                    <a:ext uri="{FF2B5EF4-FFF2-40B4-BE49-F238E27FC236}">
                      <a16:creationId xmlns:a16="http://schemas.microsoft.com/office/drawing/2014/main" id="{C2CBAFD3-2BBD-48FA-837C-7EE7B2A73A26}"/>
                    </a:ext>
                  </a:extLst>
                </xdr:cNvPr>
                <xdr:cNvSpPr txBox="1"/>
              </xdr:nvSpPr>
              <xdr:spPr>
                <a:xfrm>
                  <a:off x="4357008" y="1658711"/>
                  <a:ext cx="1646464" cy="2993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800" b="0">
                      <a:solidFill>
                        <a:schemeClr val="tx2"/>
                      </a:solidFill>
                      <a:latin typeface="+mn-lt"/>
                    </a:rPr>
                    <a:t>Net Profit</a:t>
                  </a:r>
                </a:p>
              </xdr:txBody>
            </xdr:sp>
            <xdr:sp macro="" textlink="Calculations!C3">
              <xdr:nvSpPr>
                <xdr:cNvPr id="46" name="TextBox 45">
                  <a:extLst>
                    <a:ext uri="{FF2B5EF4-FFF2-40B4-BE49-F238E27FC236}">
                      <a16:creationId xmlns:a16="http://schemas.microsoft.com/office/drawing/2014/main" id="{7911AD6C-C80E-4CAE-AB6D-60D43E30F650}"/>
                    </a:ext>
                  </a:extLst>
                </xdr:cNvPr>
                <xdr:cNvSpPr txBox="1"/>
              </xdr:nvSpPr>
              <xdr:spPr>
                <a:xfrm>
                  <a:off x="4316185" y="1873703"/>
                  <a:ext cx="1945822" cy="70757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indent="0"/>
                  <a:fld id="{BFC8883D-DC5A-4E5E-AC69-64C579535FD3}" type="TxLink">
                    <a:rPr lang="en-US" sz="3600" b="1" i="0" u="none" strike="noStrike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rPr>
                    <a:pPr marL="0" indent="0"/>
                    <a:t>₹ 37.0K</a:t>
                  </a:fld>
                  <a:endParaRPr lang="en-US" sz="3600" b="1" i="0" u="none" strike="noStrike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endParaRPr>
                </a:p>
              </xdr:txBody>
            </xdr:sp>
          </xdr:grpSp>
        </xdr:grpSp>
        <xdr:grpSp>
          <xdr:nvGrpSpPr>
            <xdr:cNvPr id="55" name="Group 54">
              <a:extLst>
                <a:ext uri="{FF2B5EF4-FFF2-40B4-BE49-F238E27FC236}">
                  <a16:creationId xmlns:a16="http://schemas.microsoft.com/office/drawing/2014/main" id="{01C40BF7-8E9B-43D3-2193-CA3F255B73A6}"/>
                </a:ext>
              </a:extLst>
            </xdr:cNvPr>
            <xdr:cNvGrpSpPr/>
          </xdr:nvGrpSpPr>
          <xdr:grpSpPr>
            <a:xfrm>
              <a:off x="6662061" y="1469577"/>
              <a:ext cx="2343151" cy="1344381"/>
              <a:chOff x="6662061" y="1469577"/>
              <a:chExt cx="2343151" cy="1344381"/>
            </a:xfrm>
          </xdr:grpSpPr>
          <xdr:sp macro="" textlink="">
            <xdr:nvSpPr>
              <xdr:cNvPr id="12" name="Rectangle 11">
                <a:extLst>
                  <a:ext uri="{FF2B5EF4-FFF2-40B4-BE49-F238E27FC236}">
                    <a16:creationId xmlns:a16="http://schemas.microsoft.com/office/drawing/2014/main" id="{4BF5B659-202A-4B18-9A22-86FCA917688C}"/>
                  </a:ext>
                </a:extLst>
              </xdr:cNvPr>
              <xdr:cNvSpPr/>
            </xdr:nvSpPr>
            <xdr:spPr>
              <a:xfrm>
                <a:off x="6662061" y="1469577"/>
                <a:ext cx="2343151" cy="1344381"/>
              </a:xfrm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  <a:effectLst>
                <a:innerShdw blurRad="114300">
                  <a:prstClr val="black"/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54" name="Group 53">
                <a:extLst>
                  <a:ext uri="{FF2B5EF4-FFF2-40B4-BE49-F238E27FC236}">
                    <a16:creationId xmlns:a16="http://schemas.microsoft.com/office/drawing/2014/main" id="{4EAEF522-36A6-E092-30F2-E7AFF1004A31}"/>
                  </a:ext>
                </a:extLst>
              </xdr:cNvPr>
              <xdr:cNvGrpSpPr/>
            </xdr:nvGrpSpPr>
            <xdr:grpSpPr>
              <a:xfrm>
                <a:off x="6795409" y="1658711"/>
                <a:ext cx="1959427" cy="922563"/>
                <a:chOff x="6795409" y="1658711"/>
                <a:chExt cx="1959427" cy="922563"/>
              </a:xfrm>
            </xdr:grpSpPr>
            <xdr:sp macro="" textlink="">
              <xdr:nvSpPr>
                <xdr:cNvPr id="43" name="TextBox 42">
                  <a:extLst>
                    <a:ext uri="{FF2B5EF4-FFF2-40B4-BE49-F238E27FC236}">
                      <a16:creationId xmlns:a16="http://schemas.microsoft.com/office/drawing/2014/main" id="{9F3C157C-E4C7-407B-BD57-7875A23C2A85}"/>
                    </a:ext>
                  </a:extLst>
                </xdr:cNvPr>
                <xdr:cNvSpPr txBox="1"/>
              </xdr:nvSpPr>
              <xdr:spPr>
                <a:xfrm>
                  <a:off x="6795409" y="1658711"/>
                  <a:ext cx="1646464" cy="2993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800" b="0">
                      <a:solidFill>
                        <a:schemeClr val="tx2"/>
                      </a:solidFill>
                      <a:latin typeface="+mn-lt"/>
                    </a:rPr>
                    <a:t>Avg. Profit Margin</a:t>
                  </a:r>
                </a:p>
              </xdr:txBody>
            </xdr:sp>
            <xdr:sp macro="" textlink="Calculations!C4">
              <xdr:nvSpPr>
                <xdr:cNvPr id="47" name="TextBox 46">
                  <a:extLst>
                    <a:ext uri="{FF2B5EF4-FFF2-40B4-BE49-F238E27FC236}">
                      <a16:creationId xmlns:a16="http://schemas.microsoft.com/office/drawing/2014/main" id="{7618F668-771C-4A68-A57B-42BBA9A6BB5B}"/>
                    </a:ext>
                  </a:extLst>
                </xdr:cNvPr>
                <xdr:cNvSpPr txBox="1"/>
              </xdr:nvSpPr>
              <xdr:spPr>
                <a:xfrm>
                  <a:off x="6809014" y="1873703"/>
                  <a:ext cx="1945822" cy="70757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indent="0"/>
                  <a:fld id="{00CAF6E0-606B-4AFF-863D-728AF4EC38D2}" type="TxLink">
                    <a:rPr lang="en-US" sz="3600" b="1" i="0" u="none" strike="noStrike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rPr>
                    <a:pPr marL="0" indent="0"/>
                    <a:t>8.44%</a:t>
                  </a:fld>
                  <a:endParaRPr lang="en-US" sz="3600" b="1" i="0" u="none" strike="noStrike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endParaRPr>
                </a:p>
              </xdr:txBody>
            </xdr:sp>
          </xdr:grpSp>
        </xdr:grpSp>
        <xdr:grpSp>
          <xdr:nvGrpSpPr>
            <xdr:cNvPr id="57" name="Group 56">
              <a:extLst>
                <a:ext uri="{FF2B5EF4-FFF2-40B4-BE49-F238E27FC236}">
                  <a16:creationId xmlns:a16="http://schemas.microsoft.com/office/drawing/2014/main" id="{DCB8873A-79AE-64AA-11D8-B796D831F984}"/>
                </a:ext>
              </a:extLst>
            </xdr:cNvPr>
            <xdr:cNvGrpSpPr/>
          </xdr:nvGrpSpPr>
          <xdr:grpSpPr>
            <a:xfrm>
              <a:off x="9086857" y="1472298"/>
              <a:ext cx="2343151" cy="1344381"/>
              <a:chOff x="9086857" y="1472298"/>
              <a:chExt cx="2343151" cy="1344381"/>
            </a:xfrm>
          </xdr:grpSpPr>
          <xdr:sp macro="" textlink="">
            <xdr:nvSpPr>
              <xdr:cNvPr id="14" name="Rectangle 13">
                <a:extLst>
                  <a:ext uri="{FF2B5EF4-FFF2-40B4-BE49-F238E27FC236}">
                    <a16:creationId xmlns:a16="http://schemas.microsoft.com/office/drawing/2014/main" id="{94640DF1-87CC-4CFE-8E8F-63856C41B74B}"/>
                  </a:ext>
                </a:extLst>
              </xdr:cNvPr>
              <xdr:cNvSpPr/>
            </xdr:nvSpPr>
            <xdr:spPr>
              <a:xfrm>
                <a:off x="9086857" y="1472298"/>
                <a:ext cx="2343151" cy="1344381"/>
              </a:xfrm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  <a:effectLst>
                <a:innerShdw blurRad="114300">
                  <a:prstClr val="black"/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56" name="Group 55">
                <a:extLst>
                  <a:ext uri="{FF2B5EF4-FFF2-40B4-BE49-F238E27FC236}">
                    <a16:creationId xmlns:a16="http://schemas.microsoft.com/office/drawing/2014/main" id="{297009B5-B92C-EB8E-A804-B22C19449F21}"/>
                  </a:ext>
                </a:extLst>
              </xdr:cNvPr>
              <xdr:cNvGrpSpPr/>
            </xdr:nvGrpSpPr>
            <xdr:grpSpPr>
              <a:xfrm>
                <a:off x="9192984" y="1658711"/>
                <a:ext cx="2196195" cy="922563"/>
                <a:chOff x="9192984" y="1658711"/>
                <a:chExt cx="2196195" cy="922563"/>
              </a:xfrm>
            </xdr:grpSpPr>
            <xdr:sp macro="" textlink="">
              <xdr:nvSpPr>
                <xdr:cNvPr id="44" name="TextBox 43">
                  <a:extLst>
                    <a:ext uri="{FF2B5EF4-FFF2-40B4-BE49-F238E27FC236}">
                      <a16:creationId xmlns:a16="http://schemas.microsoft.com/office/drawing/2014/main" id="{A88BF909-D65A-4E30-86B2-91EA25BBEF9F}"/>
                    </a:ext>
                  </a:extLst>
                </xdr:cNvPr>
                <xdr:cNvSpPr txBox="1"/>
              </xdr:nvSpPr>
              <xdr:spPr>
                <a:xfrm>
                  <a:off x="9206594" y="1658711"/>
                  <a:ext cx="1646464" cy="2993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800" b="0">
                      <a:solidFill>
                        <a:schemeClr val="tx2"/>
                      </a:solidFill>
                      <a:latin typeface="+mn-lt"/>
                    </a:rPr>
                    <a:t>Quantity Sold</a:t>
                  </a:r>
                </a:p>
              </xdr:txBody>
            </xdr:sp>
            <xdr:sp macro="" textlink="Calculations!C5">
              <xdr:nvSpPr>
                <xdr:cNvPr id="48" name="TextBox 47">
                  <a:extLst>
                    <a:ext uri="{FF2B5EF4-FFF2-40B4-BE49-F238E27FC236}">
                      <a16:creationId xmlns:a16="http://schemas.microsoft.com/office/drawing/2014/main" id="{08CBE804-6463-4B53-B6EB-74B2E4D97724}"/>
                    </a:ext>
                  </a:extLst>
                </xdr:cNvPr>
                <xdr:cNvSpPr txBox="1"/>
              </xdr:nvSpPr>
              <xdr:spPr>
                <a:xfrm>
                  <a:off x="9192984" y="1873703"/>
                  <a:ext cx="2196195" cy="70757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indent="0"/>
                  <a:fld id="{EA912246-B227-47EE-AD6D-E89C4DAB79E9}" type="TxLink">
                    <a:rPr lang="en-US" sz="3200" b="1" i="0" u="none" strike="noStrike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rPr>
                    <a:pPr marL="0" indent="0"/>
                    <a:t>5.6K Units</a:t>
                  </a:fld>
                  <a:endParaRPr lang="en-US" sz="3200" b="1" i="0" u="none" strike="noStrike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endParaRPr>
                </a:p>
              </xdr:txBody>
            </xdr:sp>
          </xdr:grpSp>
        </xdr:grp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5AB9DC9-9475-1511-DDD0-97DC83582E93}"/>
                </a:ext>
              </a:extLst>
            </xdr:cNvPr>
            <xdr:cNvSpPr txBox="1"/>
          </xdr:nvSpPr>
          <xdr:spPr>
            <a:xfrm>
              <a:off x="11525249" y="6014355"/>
              <a:ext cx="3823607" cy="22179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bg1"/>
                  </a:solidFill>
                </a:rPr>
                <a:t>Key Notes:</a:t>
              </a:r>
            </a:p>
            <a:p>
              <a:r>
                <a:rPr lang="en-US" sz="1400">
                  <a:solidFill>
                    <a:schemeClr val="bg1"/>
                  </a:solidFill>
                </a:rPr>
                <a:t>- All KPIs represented in this dashboard</a:t>
              </a:r>
              <a:r>
                <a:rPr lang="en-US" sz="1400" baseline="0">
                  <a:solidFill>
                    <a:schemeClr val="bg1"/>
                  </a:solidFill>
                </a:rPr>
                <a:t> represents the total revenue and profit drivers. </a:t>
              </a:r>
            </a:p>
            <a:p>
              <a:r>
                <a:rPr lang="en-US" sz="1400" baseline="0">
                  <a:solidFill>
                    <a:schemeClr val="bg1"/>
                  </a:solidFill>
                </a:rPr>
                <a:t>- Check file summary sheet to see key insights, business problems and suggested solutions.</a:t>
              </a:r>
              <a:endParaRPr lang="en-US" sz="1400">
                <a:solidFill>
                  <a:schemeClr val="bg1"/>
                </a:solidFill>
              </a:endParaRP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1.605614351851" createdVersion="8" refreshedVersion="8" minRefreshableVersion="3" recordCount="1500" xr:uid="{CBDFAED3-0D2F-4A57-B115-44E05F41F639}">
  <cacheSource type="worksheet">
    <worksheetSource name="Table1"/>
  </cacheSource>
  <cacheFields count="8">
    <cacheField name="order_id" numFmtId="0">
      <sharedItems count="500">
        <s v="B-25681"/>
        <s v="B-26055"/>
        <s v="B-25955"/>
        <s v="B-26093"/>
        <s v="B-25602"/>
        <s v="B-25881"/>
        <s v="B-25696"/>
        <s v="B-25687"/>
        <s v="B-25643"/>
        <s v="B-25851"/>
        <s v="B-25703"/>
        <s v="B-25887"/>
        <s v="B-25923"/>
        <s v="B-25756"/>
        <s v="B-25761"/>
        <s v="B-25655"/>
        <s v="B-25786"/>
        <s v="B-26095"/>
        <s v="B-25853"/>
        <s v="B-25735"/>
        <s v="B-25910"/>
        <s v="B-25950"/>
        <s v="B-25744"/>
        <s v="B-25845"/>
        <s v="B-26001"/>
        <s v="B-25830"/>
        <s v="B-25842"/>
        <s v="B-25778"/>
        <s v="B-25686"/>
        <s v="B-25754"/>
        <s v="B-26048"/>
        <s v="B-25816"/>
        <s v="B-26022"/>
        <s v="B-25883"/>
        <s v="B-26003"/>
        <s v="B-26097"/>
        <s v="B-25710"/>
        <s v="B-25797"/>
        <s v="B-25618"/>
        <s v="B-25723"/>
        <s v="B-25755"/>
        <s v="B-25788"/>
        <s v="B-25991"/>
        <s v="B-25779"/>
        <s v="B-25909"/>
        <s v="B-25943"/>
        <s v="B-25935"/>
        <s v="B-25613"/>
        <s v="B-25729"/>
        <s v="B-25772"/>
        <s v="B-25640"/>
        <s v="B-25810"/>
        <s v="B-25801"/>
        <s v="B-26085"/>
        <s v="B-25868"/>
        <s v="B-25714"/>
        <s v="B-25784"/>
        <s v="B-25608"/>
        <s v="B-26051"/>
        <s v="B-25900"/>
        <s v="B-25760"/>
        <s v="B-25762"/>
        <s v="B-25995"/>
        <s v="B-25965"/>
        <s v="B-25967"/>
        <s v="B-25674"/>
        <s v="B-25929"/>
        <s v="B-25777"/>
        <s v="B-26006"/>
        <s v="B-25697"/>
        <s v="B-25667"/>
        <s v="B-25836"/>
        <s v="B-25984"/>
        <s v="B-25728"/>
        <s v="B-25757"/>
        <s v="B-25957"/>
        <s v="B-26061"/>
        <s v="B-25616"/>
        <s v="B-25666"/>
        <s v="B-25675"/>
        <s v="B-26079"/>
        <s v="B-25850"/>
        <s v="B-25693"/>
        <s v="B-25852"/>
        <s v="B-25860"/>
        <s v="B-25898"/>
        <s v="B-26100"/>
        <s v="B-25653"/>
        <s v="B-25839"/>
        <s v="B-25651"/>
        <s v="B-25704"/>
        <s v="B-25730"/>
        <s v="B-26052"/>
        <s v="B-25656"/>
        <s v="B-26033"/>
        <s v="B-25945"/>
        <s v="B-26086"/>
        <s v="B-25752"/>
        <s v="B-26098"/>
        <s v="B-26067"/>
        <s v="B-25986"/>
        <s v="B-25953"/>
        <s v="B-25952"/>
        <s v="B-25903"/>
        <s v="B-25650"/>
        <s v="B-25970"/>
        <s v="B-26062"/>
        <s v="B-25632"/>
        <s v="B-25821"/>
        <s v="B-25878"/>
        <s v="B-25750"/>
        <s v="B-25657"/>
        <s v="B-25787"/>
        <s v="B-25808"/>
        <s v="B-25885"/>
        <s v="B-25759"/>
        <s v="B-25747"/>
        <s v="B-25603"/>
        <s v="B-25691"/>
        <s v="B-25607"/>
        <s v="B-25708"/>
        <s v="B-26021"/>
        <s v="B-25831"/>
        <s v="B-25670"/>
        <s v="B-26029"/>
        <s v="B-25959"/>
        <s v="B-25676"/>
        <s v="B-25888"/>
        <s v="B-25911"/>
        <s v="B-25662"/>
        <s v="B-25847"/>
        <s v="B-25796"/>
        <s v="B-25993"/>
        <s v="B-25930"/>
        <s v="B-25785"/>
        <s v="B-26053"/>
        <s v="B-26019"/>
        <s v="B-26070"/>
        <s v="B-25870"/>
        <s v="B-25855"/>
        <s v="B-25803"/>
        <s v="B-25996"/>
        <s v="B-26078"/>
        <s v="B-25682"/>
        <s v="B-25749"/>
        <s v="B-25962"/>
        <s v="B-25899"/>
        <s v="B-25951"/>
        <s v="B-25828"/>
        <s v="B-25658"/>
        <s v="B-25698"/>
        <s v="B-25832"/>
        <s v="B-25886"/>
        <s v="B-25897"/>
        <s v="B-25873"/>
        <s v="B-25858"/>
        <s v="B-25867"/>
        <s v="B-25633"/>
        <s v="B-25609"/>
        <s v="B-25896"/>
        <s v="B-26000"/>
        <s v="B-25940"/>
        <s v="B-26087"/>
        <s v="B-25980"/>
        <s v="B-25877"/>
        <s v="B-25905"/>
        <s v="B-25818"/>
        <s v="B-25835"/>
        <s v="B-26081"/>
        <s v="B-25837"/>
        <s v="B-25893"/>
        <s v="B-25689"/>
        <s v="B-26028"/>
        <s v="B-25654"/>
        <s v="B-25720"/>
        <s v="B-26057"/>
        <s v="B-25798"/>
        <s v="B-25961"/>
        <s v="B-25701"/>
        <s v="B-26056"/>
        <s v="B-26016"/>
        <s v="B-25819"/>
        <s v="B-25848"/>
        <s v="B-25678"/>
        <s v="B-25925"/>
        <s v="B-25977"/>
        <s v="B-25648"/>
        <s v="B-25933"/>
        <s v="B-25942"/>
        <s v="B-25673"/>
        <s v="B-25791"/>
        <s v="B-25983"/>
        <s v="B-25743"/>
        <s v="B-25973"/>
        <s v="B-25895"/>
        <s v="B-25717"/>
        <s v="B-26064"/>
        <s v="B-25630"/>
        <s v="B-26050"/>
        <s v="B-26035"/>
        <s v="B-25966"/>
        <s v="B-26060"/>
        <s v="B-25854"/>
        <s v="B-25964"/>
        <s v="B-25628"/>
        <s v="B-25891"/>
        <s v="B-26089"/>
        <s v="B-25621"/>
        <s v="B-25727"/>
        <s v="B-25843"/>
        <s v="B-25741"/>
        <s v="B-26096"/>
        <s v="B-26007"/>
        <s v="B-26088"/>
        <s v="B-25664"/>
        <s v="B-25642"/>
        <s v="B-25987"/>
        <s v="B-25770"/>
        <s v="B-25840"/>
        <s v="B-25846"/>
        <s v="B-25745"/>
        <s v="B-26073"/>
        <s v="B-26030"/>
        <s v="B-25989"/>
        <s v="B-26009"/>
        <s v="B-25915"/>
        <s v="B-25645"/>
        <s v="B-25635"/>
        <s v="B-26038"/>
        <s v="B-26014"/>
        <s v="B-25751"/>
        <s v="B-26025"/>
        <s v="B-25981"/>
        <s v="B-25610"/>
        <s v="B-25733"/>
        <s v="B-25612"/>
        <s v="B-25700"/>
        <s v="B-25856"/>
        <s v="B-26026"/>
        <s v="B-25861"/>
        <s v="B-25799"/>
        <s v="B-26054"/>
        <s v="B-25660"/>
        <s v="B-26045"/>
        <s v="B-25781"/>
        <s v="B-25918"/>
        <s v="B-25971"/>
        <s v="B-25699"/>
        <s v="B-25776"/>
        <s v="B-25985"/>
        <s v="B-26063"/>
        <s v="B-26032"/>
        <s v="B-25767"/>
        <s v="B-26023"/>
        <s v="B-25809"/>
        <s v="B-25688"/>
        <s v="B-25753"/>
        <s v="B-25773"/>
        <s v="B-25661"/>
        <s v="B-25857"/>
        <s v="B-25999"/>
        <s v="B-25926"/>
        <s v="B-26076"/>
        <s v="B-25913"/>
        <s v="B-26020"/>
        <s v="B-26083"/>
        <s v="B-25625"/>
        <s v="B-26010"/>
        <s v="B-25979"/>
        <s v="B-26002"/>
        <s v="B-26084"/>
        <s v="B-25998"/>
        <s v="B-25872"/>
        <s v="B-25795"/>
        <s v="B-25902"/>
        <s v="B-25793"/>
        <s v="B-25652"/>
        <s v="B-26018"/>
        <s v="B-25823"/>
        <s v="B-25994"/>
        <s v="B-25863"/>
        <s v="B-25680"/>
        <s v="B-25737"/>
        <s v="B-25875"/>
        <s v="B-26031"/>
        <s v="B-25908"/>
        <s v="B-26041"/>
        <s v="B-25794"/>
        <s v="B-25615"/>
        <s v="B-25997"/>
        <s v="B-25990"/>
        <s v="B-26091"/>
        <s v="B-25604"/>
        <s v="B-25724"/>
        <s v="B-25748"/>
        <s v="B-26004"/>
        <s v="B-25954"/>
        <s v="B-26043"/>
        <s v="B-25838"/>
        <s v="B-26042"/>
        <s v="B-26008"/>
        <s v="B-25927"/>
        <s v="B-25948"/>
        <s v="B-26094"/>
        <s v="B-25623"/>
        <s v="B-25800"/>
        <s v="B-26039"/>
        <s v="B-25620"/>
        <s v="B-25721"/>
        <s v="B-25764"/>
        <s v="B-26066"/>
        <s v="B-25712"/>
        <s v="B-25738"/>
        <s v="B-25771"/>
        <s v="B-25601"/>
        <s v="B-25844"/>
        <s v="B-26065"/>
        <s v="B-25825"/>
        <s v="B-25765"/>
        <s v="B-25709"/>
        <s v="B-25684"/>
        <s v="B-25739"/>
        <s v="B-26082"/>
        <s v="B-25731"/>
        <s v="B-25719"/>
        <s v="B-25646"/>
        <s v="B-25874"/>
        <s v="B-25638"/>
        <s v="B-25882"/>
        <s v="B-26040"/>
        <s v="B-26037"/>
        <s v="B-25920"/>
        <s v="B-25960"/>
        <s v="B-25917"/>
        <s v="B-25972"/>
        <s v="B-25736"/>
        <s v="B-25742"/>
        <s v="B-25641"/>
        <s v="B-25958"/>
        <s v="B-25802"/>
        <s v="B-25834"/>
        <s v="B-25774"/>
        <s v="B-25904"/>
        <s v="B-25934"/>
        <s v="B-25912"/>
        <s v="B-25647"/>
        <s v="B-25901"/>
        <s v="B-25804"/>
        <s v="B-25734"/>
        <s v="B-25711"/>
        <s v="B-25864"/>
        <s v="B-25949"/>
        <s v="B-25805"/>
        <s v="B-25919"/>
        <s v="B-25889"/>
        <s v="B-25637"/>
        <s v="B-25783"/>
        <s v="B-25938"/>
        <s v="B-25820"/>
        <s v="B-25924"/>
        <s v="B-25814"/>
        <s v="B-25631"/>
        <s v="B-25956"/>
        <s v="B-25862"/>
        <s v="B-25606"/>
        <s v="B-25928"/>
        <s v="B-26005"/>
        <s v="B-25963"/>
        <s v="B-25683"/>
        <s v="B-25914"/>
        <s v="B-25869"/>
        <s v="B-25921"/>
        <s v="B-25849"/>
        <s v="B-25780"/>
        <s v="B-25892"/>
        <s v="B-25988"/>
        <s v="B-25939"/>
        <s v="B-25906"/>
        <s v="B-26017"/>
        <s v="B-25644"/>
        <s v="B-25679"/>
        <s v="B-25792"/>
        <s v="B-25946"/>
        <s v="B-25992"/>
        <s v="B-25659"/>
        <s v="B-25716"/>
        <s v="B-25725"/>
        <s v="B-25932"/>
        <s v="B-25789"/>
        <s v="B-25732"/>
        <s v="B-25871"/>
        <s v="B-25611"/>
        <s v="B-25833"/>
        <s v="B-25665"/>
        <s v="B-25694"/>
        <s v="B-25668"/>
        <s v="B-26024"/>
        <s v="B-25827"/>
        <s v="B-25713"/>
        <s v="B-25944"/>
        <s v="B-25695"/>
        <s v="B-25880"/>
        <s v="B-25941"/>
        <s v="B-25706"/>
        <s v="B-25969"/>
        <s v="B-25763"/>
        <s v="B-25740"/>
        <s v="B-25879"/>
        <s v="B-25614"/>
        <s v="B-26092"/>
        <s v="B-26011"/>
        <s v="B-26074"/>
        <s v="B-25976"/>
        <s v="B-25865"/>
        <s v="B-26049"/>
        <s v="B-26047"/>
        <s v="B-25766"/>
        <s v="B-25947"/>
        <s v="B-26069"/>
        <s v="B-25627"/>
        <s v="B-26027"/>
        <s v="B-26068"/>
        <s v="B-26080"/>
        <s v="B-26012"/>
        <s v="B-25824"/>
        <s v="B-25922"/>
        <s v="B-26099"/>
        <s v="B-25866"/>
        <s v="B-25775"/>
        <s v="B-25685"/>
        <s v="B-26090"/>
        <s v="B-26072"/>
        <s v="B-25916"/>
        <s v="B-25722"/>
        <s v="B-25746"/>
        <s v="B-25812"/>
        <s v="B-25605"/>
        <s v="B-25702"/>
        <s v="B-25626"/>
        <s v="B-25811"/>
        <s v="B-25876"/>
        <s v="B-25931"/>
        <s v="B-25663"/>
        <s v="B-25677"/>
        <s v="B-25617"/>
        <s v="B-26036"/>
        <s v="B-25978"/>
        <s v="B-26077"/>
        <s v="B-25790"/>
        <s v="B-25829"/>
        <s v="B-25705"/>
        <s v="B-25936"/>
        <s v="B-25782"/>
        <s v="B-25769"/>
        <s v="B-25718"/>
        <s v="B-25715"/>
        <s v="B-26075"/>
        <s v="B-25634"/>
        <s v="B-26015"/>
        <s v="B-25822"/>
        <s v="B-26034"/>
        <s v="B-25692"/>
        <s v="B-26046"/>
        <s v="B-25622"/>
        <s v="B-25690"/>
        <s v="B-25726"/>
        <s v="B-25907"/>
        <s v="B-26013"/>
        <s v="B-25975"/>
        <s v="B-25815"/>
        <s v="B-25619"/>
        <s v="B-26058"/>
        <s v="B-26044"/>
        <s v="B-25636"/>
        <s v="B-25649"/>
        <s v="B-25806"/>
        <s v="B-25826"/>
        <s v="B-25624"/>
        <s v="B-25974"/>
        <s v="B-25884"/>
        <s v="B-25672"/>
        <s v="B-25859"/>
        <s v="B-25817"/>
        <s v="B-25968"/>
        <s v="B-25671"/>
        <s v="B-26059"/>
        <s v="B-25669"/>
        <s v="B-25841"/>
        <s v="B-26071"/>
        <s v="B-25813"/>
        <s v="B-25890"/>
        <s v="B-25807"/>
        <s v="B-25937"/>
        <s v="B-25982"/>
        <s v="B-25639"/>
        <s v="B-25894"/>
        <s v="B-25768"/>
        <s v="B-25629"/>
        <s v="B-25758"/>
        <s v="B-25707"/>
      </sharedItems>
    </cacheField>
    <cacheField name="amount" numFmtId="164">
      <sharedItems containsSemiMixedTypes="0" containsString="0" containsNumber="1" containsInteger="1" minValue="4" maxValue="5729"/>
    </cacheField>
    <cacheField name="profit" numFmtId="164">
      <sharedItems containsSemiMixedTypes="0" containsString="0" containsNumber="1" containsInteger="1" minValue="-1981" maxValue="1864"/>
    </cacheField>
    <cacheField name="quantity" numFmtId="1">
      <sharedItems containsSemiMixedTypes="0" containsString="0" containsNumber="1" containsInteger="1" minValue="1" maxValue="14"/>
    </cacheField>
    <cacheField name="category" numFmtId="0">
      <sharedItems count="3">
        <s v="Electronics"/>
        <s v="Furniture"/>
        <s v="Clothing"/>
      </sharedItems>
    </cacheField>
    <cacheField name="sub_category" numFmtId="0">
      <sharedItems count="17">
        <s v="Electronic Games"/>
        <s v="Chairs"/>
        <s v="Bookcases"/>
        <s v="Printers"/>
        <s v="Phones"/>
        <s v="Trousers"/>
        <s v="Saree"/>
        <s v="Handkerchief"/>
        <s v="Kurti"/>
        <s v="Skirt"/>
        <s v="Tables"/>
        <s v="Stole"/>
        <s v="Leggings"/>
        <s v="Accessories"/>
        <s v="T-shirt"/>
        <s v="Furnishings"/>
        <s v="Shirt"/>
      </sharedItems>
    </cacheField>
    <cacheField name="payment_mode" numFmtId="0">
      <sharedItems count="5">
        <s v="COD"/>
        <s v="EMI"/>
        <s v="Credit Card"/>
        <s v="UPI"/>
        <s v="Debit Card"/>
      </sharedItems>
    </cacheField>
    <cacheField name="Profit Margin" numFmtId="0" formula="profit/am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n v="1096"/>
    <n v="658"/>
    <n v="7"/>
    <x v="0"/>
    <x v="0"/>
    <x v="0"/>
  </r>
  <r>
    <x v="1"/>
    <n v="5729"/>
    <n v="64"/>
    <n v="14"/>
    <x v="1"/>
    <x v="1"/>
    <x v="1"/>
  </r>
  <r>
    <x v="2"/>
    <n v="2927"/>
    <n v="146"/>
    <n v="8"/>
    <x v="1"/>
    <x v="2"/>
    <x v="1"/>
  </r>
  <r>
    <x v="3"/>
    <n v="2847"/>
    <n v="712"/>
    <n v="8"/>
    <x v="0"/>
    <x v="3"/>
    <x v="2"/>
  </r>
  <r>
    <x v="4"/>
    <n v="2617"/>
    <n v="1151"/>
    <n v="4"/>
    <x v="0"/>
    <x v="4"/>
    <x v="2"/>
  </r>
  <r>
    <x v="5"/>
    <n v="2244"/>
    <n v="247"/>
    <n v="4"/>
    <x v="2"/>
    <x v="5"/>
    <x v="2"/>
  </r>
  <r>
    <x v="6"/>
    <n v="275"/>
    <n v="-275"/>
    <n v="4"/>
    <x v="2"/>
    <x v="6"/>
    <x v="0"/>
  </r>
  <r>
    <x v="7"/>
    <n v="387"/>
    <n v="-213"/>
    <n v="5"/>
    <x v="2"/>
    <x v="6"/>
    <x v="3"/>
  </r>
  <r>
    <x v="8"/>
    <n v="50"/>
    <n v="-44"/>
    <n v="2"/>
    <x v="2"/>
    <x v="7"/>
    <x v="3"/>
  </r>
  <r>
    <x v="9"/>
    <n v="135"/>
    <n v="-54"/>
    <n v="5"/>
    <x v="2"/>
    <x v="8"/>
    <x v="0"/>
  </r>
  <r>
    <x v="10"/>
    <n v="231"/>
    <n v="-190"/>
    <n v="9"/>
    <x v="2"/>
    <x v="7"/>
    <x v="0"/>
  </r>
  <r>
    <x v="11"/>
    <n v="2125"/>
    <n v="-234"/>
    <n v="6"/>
    <x v="0"/>
    <x v="3"/>
    <x v="1"/>
  </r>
  <r>
    <x v="12"/>
    <n v="3873"/>
    <n v="-891"/>
    <n v="6"/>
    <x v="0"/>
    <x v="4"/>
    <x v="2"/>
  </r>
  <r>
    <x v="13"/>
    <n v="729"/>
    <n v="-492"/>
    <n v="5"/>
    <x v="1"/>
    <x v="2"/>
    <x v="3"/>
  </r>
  <r>
    <x v="14"/>
    <n v="2188"/>
    <n v="1050"/>
    <n v="5"/>
    <x v="1"/>
    <x v="2"/>
    <x v="2"/>
  </r>
  <r>
    <x v="15"/>
    <n v="6"/>
    <n v="-3"/>
    <n v="1"/>
    <x v="2"/>
    <x v="7"/>
    <x v="3"/>
  </r>
  <r>
    <x v="16"/>
    <n v="1854"/>
    <n v="433"/>
    <n v="5"/>
    <x v="1"/>
    <x v="2"/>
    <x v="2"/>
  </r>
  <r>
    <x v="17"/>
    <n v="6"/>
    <n v="1"/>
    <n v="1"/>
    <x v="2"/>
    <x v="8"/>
    <x v="3"/>
  </r>
  <r>
    <x v="18"/>
    <n v="2093"/>
    <n v="721"/>
    <n v="5"/>
    <x v="1"/>
    <x v="1"/>
    <x v="2"/>
  </r>
  <r>
    <x v="19"/>
    <n v="7"/>
    <n v="-1"/>
    <n v="2"/>
    <x v="2"/>
    <x v="9"/>
    <x v="3"/>
  </r>
  <r>
    <x v="20"/>
    <n v="1622"/>
    <n v="-624"/>
    <n v="5"/>
    <x v="1"/>
    <x v="10"/>
    <x v="2"/>
  </r>
  <r>
    <x v="21"/>
    <n v="1622"/>
    <n v="95"/>
    <n v="5"/>
    <x v="0"/>
    <x v="3"/>
    <x v="2"/>
  </r>
  <r>
    <x v="22"/>
    <n v="373"/>
    <n v="254"/>
    <n v="6"/>
    <x v="0"/>
    <x v="3"/>
    <x v="3"/>
  </r>
  <r>
    <x v="23"/>
    <n v="82"/>
    <n v="-33"/>
    <n v="4"/>
    <x v="2"/>
    <x v="8"/>
    <x v="0"/>
  </r>
  <r>
    <x v="24"/>
    <n v="8"/>
    <n v="2"/>
    <n v="2"/>
    <x v="2"/>
    <x v="9"/>
    <x v="3"/>
  </r>
  <r>
    <x v="25"/>
    <n v="1954"/>
    <n v="782"/>
    <n v="3"/>
    <x v="0"/>
    <x v="4"/>
    <x v="2"/>
  </r>
  <r>
    <x v="26"/>
    <n v="1543"/>
    <n v="370"/>
    <n v="8"/>
    <x v="0"/>
    <x v="3"/>
    <x v="2"/>
  </r>
  <r>
    <x v="27"/>
    <n v="1506"/>
    <n v="-266"/>
    <n v="6"/>
    <x v="0"/>
    <x v="3"/>
    <x v="2"/>
  </r>
  <r>
    <x v="28"/>
    <n v="1829"/>
    <n v="-56"/>
    <n v="6"/>
    <x v="1"/>
    <x v="10"/>
    <x v="2"/>
  </r>
  <r>
    <x v="29"/>
    <n v="9"/>
    <n v="-1"/>
    <n v="3"/>
    <x v="2"/>
    <x v="9"/>
    <x v="3"/>
  </r>
  <r>
    <x v="30"/>
    <n v="1461"/>
    <n v="202"/>
    <n v="5"/>
    <x v="1"/>
    <x v="10"/>
    <x v="1"/>
  </r>
  <r>
    <x v="31"/>
    <n v="391"/>
    <n v="113"/>
    <n v="8"/>
    <x v="2"/>
    <x v="11"/>
    <x v="0"/>
  </r>
  <r>
    <x v="32"/>
    <n v="1824"/>
    <n v="1303"/>
    <n v="8"/>
    <x v="0"/>
    <x v="4"/>
    <x v="2"/>
  </r>
  <r>
    <x v="33"/>
    <n v="16"/>
    <n v="-15"/>
    <n v="4"/>
    <x v="2"/>
    <x v="7"/>
    <x v="3"/>
  </r>
  <r>
    <x v="34"/>
    <n v="1745"/>
    <n v="122"/>
    <n v="2"/>
    <x v="1"/>
    <x v="10"/>
    <x v="2"/>
  </r>
  <r>
    <x v="35"/>
    <n v="663"/>
    <n v="-212"/>
    <n v="5"/>
    <x v="0"/>
    <x v="3"/>
    <x v="3"/>
  </r>
  <r>
    <x v="36"/>
    <n v="10"/>
    <n v="-1"/>
    <n v="1"/>
    <x v="2"/>
    <x v="12"/>
    <x v="3"/>
  </r>
  <r>
    <x v="37"/>
    <n v="1630"/>
    <n v="802"/>
    <n v="5"/>
    <x v="1"/>
    <x v="10"/>
    <x v="1"/>
  </r>
  <r>
    <x v="38"/>
    <n v="12"/>
    <n v="0"/>
    <n v="2"/>
    <x v="2"/>
    <x v="7"/>
    <x v="3"/>
  </r>
  <r>
    <x v="39"/>
    <n v="12"/>
    <n v="-7"/>
    <n v="2"/>
    <x v="2"/>
    <x v="12"/>
    <x v="3"/>
  </r>
  <r>
    <x v="40"/>
    <n v="1709"/>
    <n v="564"/>
    <n v="3"/>
    <x v="2"/>
    <x v="5"/>
    <x v="2"/>
  </r>
  <r>
    <x v="41"/>
    <n v="12"/>
    <n v="3"/>
    <n v="1"/>
    <x v="2"/>
    <x v="11"/>
    <x v="3"/>
  </r>
  <r>
    <x v="0"/>
    <n v="1625"/>
    <n v="-77"/>
    <n v="3"/>
    <x v="0"/>
    <x v="4"/>
    <x v="1"/>
  </r>
  <r>
    <x v="42"/>
    <n v="13"/>
    <n v="5"/>
    <n v="2"/>
    <x v="2"/>
    <x v="7"/>
    <x v="3"/>
  </r>
  <r>
    <x v="43"/>
    <n v="1361"/>
    <n v="980"/>
    <n v="3"/>
    <x v="1"/>
    <x v="10"/>
    <x v="0"/>
  </r>
  <r>
    <x v="44"/>
    <n v="1622"/>
    <n v="-448"/>
    <n v="3"/>
    <x v="0"/>
    <x v="4"/>
    <x v="1"/>
  </r>
  <r>
    <x v="45"/>
    <n v="1547"/>
    <n v="340"/>
    <n v="6"/>
    <x v="0"/>
    <x v="13"/>
    <x v="1"/>
  </r>
  <r>
    <x v="46"/>
    <n v="1657"/>
    <n v="460"/>
    <n v="4"/>
    <x v="1"/>
    <x v="1"/>
    <x v="2"/>
  </r>
  <r>
    <x v="47"/>
    <n v="1603"/>
    <n v="0"/>
    <n v="9"/>
    <x v="2"/>
    <x v="6"/>
    <x v="2"/>
  </r>
  <r>
    <x v="48"/>
    <n v="1549"/>
    <n v="-439"/>
    <n v="4"/>
    <x v="0"/>
    <x v="4"/>
    <x v="2"/>
  </r>
  <r>
    <x v="49"/>
    <n v="1183"/>
    <n v="106"/>
    <n v="4"/>
    <x v="0"/>
    <x v="3"/>
    <x v="1"/>
  </r>
  <r>
    <x v="15"/>
    <n v="74"/>
    <n v="-123"/>
    <n v="8"/>
    <x v="2"/>
    <x v="9"/>
    <x v="3"/>
  </r>
  <r>
    <x v="50"/>
    <n v="1499"/>
    <n v="239"/>
    <n v="13"/>
    <x v="2"/>
    <x v="6"/>
    <x v="2"/>
  </r>
  <r>
    <x v="51"/>
    <n v="1120"/>
    <n v="199"/>
    <n v="6"/>
    <x v="2"/>
    <x v="6"/>
    <x v="1"/>
  </r>
  <r>
    <x v="52"/>
    <n v="15"/>
    <n v="-2"/>
    <n v="1"/>
    <x v="2"/>
    <x v="14"/>
    <x v="4"/>
  </r>
  <r>
    <x v="53"/>
    <n v="1487"/>
    <n v="624"/>
    <n v="3"/>
    <x v="2"/>
    <x v="5"/>
    <x v="2"/>
  </r>
  <r>
    <x v="54"/>
    <n v="1118"/>
    <n v="206"/>
    <n v="2"/>
    <x v="1"/>
    <x v="10"/>
    <x v="2"/>
  </r>
  <r>
    <x v="55"/>
    <n v="11"/>
    <n v="-5"/>
    <n v="2"/>
    <x v="2"/>
    <x v="7"/>
    <x v="0"/>
  </r>
  <r>
    <x v="56"/>
    <n v="15"/>
    <n v="4"/>
    <n v="1"/>
    <x v="2"/>
    <x v="7"/>
    <x v="4"/>
  </r>
  <r>
    <x v="57"/>
    <n v="1364"/>
    <n v="1864"/>
    <n v="5"/>
    <x v="1"/>
    <x v="10"/>
    <x v="2"/>
  </r>
  <r>
    <x v="58"/>
    <n v="1337"/>
    <n v="147"/>
    <n v="7"/>
    <x v="0"/>
    <x v="3"/>
    <x v="2"/>
  </r>
  <r>
    <x v="59"/>
    <n v="15"/>
    <n v="2"/>
    <n v="1"/>
    <x v="2"/>
    <x v="12"/>
    <x v="4"/>
  </r>
  <r>
    <x v="60"/>
    <n v="322"/>
    <n v="-193"/>
    <n v="5"/>
    <x v="0"/>
    <x v="3"/>
    <x v="3"/>
  </r>
  <r>
    <x v="61"/>
    <n v="1316"/>
    <n v="527"/>
    <n v="7"/>
    <x v="0"/>
    <x v="0"/>
    <x v="2"/>
  </r>
  <r>
    <x v="62"/>
    <n v="1314"/>
    <n v="342"/>
    <n v="3"/>
    <x v="1"/>
    <x v="2"/>
    <x v="2"/>
  </r>
  <r>
    <x v="63"/>
    <n v="17"/>
    <n v="7"/>
    <n v="3"/>
    <x v="2"/>
    <x v="7"/>
    <x v="4"/>
  </r>
  <r>
    <x v="64"/>
    <n v="17"/>
    <n v="2"/>
    <n v="2"/>
    <x v="2"/>
    <x v="9"/>
    <x v="4"/>
  </r>
  <r>
    <x v="65"/>
    <n v="17"/>
    <n v="-12"/>
    <n v="5"/>
    <x v="2"/>
    <x v="9"/>
    <x v="4"/>
  </r>
  <r>
    <x v="66"/>
    <n v="1308"/>
    <n v="536"/>
    <n v="3"/>
    <x v="1"/>
    <x v="2"/>
    <x v="2"/>
  </r>
  <r>
    <x v="67"/>
    <n v="1076"/>
    <n v="-38"/>
    <n v="4"/>
    <x v="0"/>
    <x v="3"/>
    <x v="2"/>
  </r>
  <r>
    <x v="68"/>
    <n v="1301"/>
    <n v="573"/>
    <n v="5"/>
    <x v="0"/>
    <x v="13"/>
    <x v="2"/>
  </r>
  <r>
    <x v="69"/>
    <n v="1300"/>
    <n v="-16"/>
    <n v="8"/>
    <x v="0"/>
    <x v="3"/>
    <x v="2"/>
  </r>
  <r>
    <x v="70"/>
    <n v="11"/>
    <n v="-2"/>
    <n v="4"/>
    <x v="2"/>
    <x v="7"/>
    <x v="0"/>
  </r>
  <r>
    <x v="71"/>
    <n v="1298"/>
    <n v="65"/>
    <n v="9"/>
    <x v="0"/>
    <x v="3"/>
    <x v="1"/>
  </r>
  <r>
    <x v="72"/>
    <n v="304"/>
    <n v="97"/>
    <n v="6"/>
    <x v="2"/>
    <x v="11"/>
    <x v="3"/>
  </r>
  <r>
    <x v="73"/>
    <n v="1055"/>
    <n v="264"/>
    <n v="4"/>
    <x v="0"/>
    <x v="3"/>
    <x v="1"/>
  </r>
  <r>
    <x v="74"/>
    <n v="17"/>
    <n v="-13"/>
    <n v="4"/>
    <x v="2"/>
    <x v="9"/>
    <x v="4"/>
  </r>
  <r>
    <x v="75"/>
    <n v="147"/>
    <n v="73"/>
    <n v="3"/>
    <x v="2"/>
    <x v="11"/>
    <x v="0"/>
  </r>
  <r>
    <x v="76"/>
    <n v="965"/>
    <n v="-68"/>
    <n v="3"/>
    <x v="0"/>
    <x v="3"/>
    <x v="0"/>
  </r>
  <r>
    <x v="19"/>
    <n v="12"/>
    <n v="-2"/>
    <n v="3"/>
    <x v="2"/>
    <x v="7"/>
    <x v="0"/>
  </r>
  <r>
    <x v="77"/>
    <n v="14"/>
    <n v="-2"/>
    <n v="3"/>
    <x v="2"/>
    <x v="7"/>
    <x v="3"/>
  </r>
  <r>
    <x v="78"/>
    <n v="934"/>
    <n v="-916"/>
    <n v="7"/>
    <x v="0"/>
    <x v="0"/>
    <x v="0"/>
  </r>
  <r>
    <x v="79"/>
    <n v="929"/>
    <n v="-93"/>
    <n v="9"/>
    <x v="2"/>
    <x v="6"/>
    <x v="0"/>
  </r>
  <r>
    <x v="80"/>
    <n v="18"/>
    <n v="3"/>
    <n v="2"/>
    <x v="2"/>
    <x v="7"/>
    <x v="4"/>
  </r>
  <r>
    <x v="81"/>
    <n v="916"/>
    <n v="192"/>
    <n v="11"/>
    <x v="0"/>
    <x v="4"/>
    <x v="0"/>
  </r>
  <r>
    <x v="82"/>
    <n v="76"/>
    <n v="-72"/>
    <n v="9"/>
    <x v="2"/>
    <x v="7"/>
    <x v="0"/>
  </r>
  <r>
    <x v="83"/>
    <n v="869"/>
    <n v="67"/>
    <n v="4"/>
    <x v="1"/>
    <x v="10"/>
    <x v="0"/>
  </r>
  <r>
    <x v="84"/>
    <n v="112"/>
    <n v="24"/>
    <n v="3"/>
    <x v="2"/>
    <x v="8"/>
    <x v="0"/>
  </r>
  <r>
    <x v="18"/>
    <n v="39"/>
    <n v="16"/>
    <n v="6"/>
    <x v="2"/>
    <x v="9"/>
    <x v="3"/>
  </r>
  <r>
    <x v="85"/>
    <n v="857"/>
    <n v="-274"/>
    <n v="2"/>
    <x v="1"/>
    <x v="10"/>
    <x v="0"/>
  </r>
  <r>
    <x v="86"/>
    <n v="828"/>
    <n v="230"/>
    <n v="2"/>
    <x v="1"/>
    <x v="1"/>
    <x v="0"/>
  </r>
  <r>
    <x v="87"/>
    <n v="1279"/>
    <n v="-640"/>
    <n v="8"/>
    <x v="0"/>
    <x v="3"/>
    <x v="1"/>
  </r>
  <r>
    <x v="88"/>
    <n v="1250"/>
    <n v="486"/>
    <n v="7"/>
    <x v="2"/>
    <x v="6"/>
    <x v="1"/>
  </r>
  <r>
    <x v="89"/>
    <n v="823"/>
    <n v="-18"/>
    <n v="7"/>
    <x v="1"/>
    <x v="1"/>
    <x v="0"/>
  </r>
  <r>
    <x v="75"/>
    <n v="1157"/>
    <n v="-13"/>
    <n v="9"/>
    <x v="1"/>
    <x v="2"/>
    <x v="2"/>
  </r>
  <r>
    <x v="90"/>
    <n v="126"/>
    <n v="-63"/>
    <n v="3"/>
    <x v="0"/>
    <x v="13"/>
    <x v="3"/>
  </r>
  <r>
    <x v="91"/>
    <n v="1145"/>
    <n v="-706"/>
    <n v="3"/>
    <x v="0"/>
    <x v="4"/>
    <x v="2"/>
  </r>
  <r>
    <x v="92"/>
    <n v="774"/>
    <n v="170"/>
    <n v="3"/>
    <x v="0"/>
    <x v="13"/>
    <x v="0"/>
  </r>
  <r>
    <x v="93"/>
    <n v="24"/>
    <n v="-1"/>
    <n v="2"/>
    <x v="2"/>
    <x v="7"/>
    <x v="0"/>
  </r>
  <r>
    <x v="94"/>
    <n v="774"/>
    <n v="170"/>
    <n v="3"/>
    <x v="0"/>
    <x v="13"/>
    <x v="0"/>
  </r>
  <r>
    <x v="81"/>
    <n v="93"/>
    <n v="-1"/>
    <n v="2"/>
    <x v="2"/>
    <x v="7"/>
    <x v="0"/>
  </r>
  <r>
    <x v="95"/>
    <n v="765"/>
    <n v="-36"/>
    <n v="3"/>
    <x v="0"/>
    <x v="0"/>
    <x v="0"/>
  </r>
  <r>
    <x v="96"/>
    <n v="762"/>
    <n v="101"/>
    <n v="6"/>
    <x v="0"/>
    <x v="3"/>
    <x v="0"/>
  </r>
  <r>
    <x v="97"/>
    <n v="761"/>
    <n v="266"/>
    <n v="9"/>
    <x v="0"/>
    <x v="0"/>
    <x v="0"/>
  </r>
  <r>
    <x v="98"/>
    <n v="96"/>
    <n v="-48"/>
    <n v="5"/>
    <x v="2"/>
    <x v="12"/>
    <x v="3"/>
  </r>
  <r>
    <x v="99"/>
    <n v="1137"/>
    <n v="-14"/>
    <n v="7"/>
    <x v="0"/>
    <x v="3"/>
    <x v="1"/>
  </r>
  <r>
    <x v="91"/>
    <n v="18"/>
    <n v="8"/>
    <n v="2"/>
    <x v="2"/>
    <x v="7"/>
    <x v="4"/>
  </r>
  <r>
    <x v="100"/>
    <n v="749"/>
    <n v="-307"/>
    <n v="7"/>
    <x v="1"/>
    <x v="15"/>
    <x v="0"/>
  </r>
  <r>
    <x v="99"/>
    <n v="1120"/>
    <n v="199"/>
    <n v="6"/>
    <x v="2"/>
    <x v="6"/>
    <x v="1"/>
  </r>
  <r>
    <x v="101"/>
    <n v="744"/>
    <n v="119"/>
    <n v="6"/>
    <x v="0"/>
    <x v="3"/>
    <x v="0"/>
  </r>
  <r>
    <x v="102"/>
    <n v="14"/>
    <n v="0"/>
    <n v="4"/>
    <x v="2"/>
    <x v="7"/>
    <x v="3"/>
  </r>
  <r>
    <x v="103"/>
    <n v="19"/>
    <n v="8"/>
    <n v="2"/>
    <x v="2"/>
    <x v="7"/>
    <x v="4"/>
  </r>
  <r>
    <x v="104"/>
    <n v="512"/>
    <n v="-225"/>
    <n v="5"/>
    <x v="2"/>
    <x v="6"/>
    <x v="0"/>
  </r>
  <r>
    <x v="105"/>
    <n v="742"/>
    <n v="198"/>
    <n v="2"/>
    <x v="1"/>
    <x v="2"/>
    <x v="0"/>
  </r>
  <r>
    <x v="106"/>
    <n v="44"/>
    <n v="-40"/>
    <n v="3"/>
    <x v="2"/>
    <x v="11"/>
    <x v="0"/>
  </r>
  <r>
    <x v="8"/>
    <n v="1061"/>
    <n v="-36"/>
    <n v="8"/>
    <x v="1"/>
    <x v="2"/>
    <x v="1"/>
  </r>
  <r>
    <x v="107"/>
    <n v="19"/>
    <n v="-2"/>
    <n v="2"/>
    <x v="2"/>
    <x v="12"/>
    <x v="4"/>
  </r>
  <r>
    <x v="108"/>
    <n v="17"/>
    <n v="0"/>
    <n v="1"/>
    <x v="2"/>
    <x v="7"/>
    <x v="0"/>
  </r>
  <r>
    <x v="109"/>
    <n v="741"/>
    <n v="267"/>
    <n v="5"/>
    <x v="1"/>
    <x v="2"/>
    <x v="0"/>
  </r>
  <r>
    <x v="97"/>
    <n v="735"/>
    <n v="-235"/>
    <n v="6"/>
    <x v="0"/>
    <x v="3"/>
    <x v="0"/>
  </r>
  <r>
    <x v="110"/>
    <n v="19"/>
    <n v="-1"/>
    <n v="1"/>
    <x v="2"/>
    <x v="16"/>
    <x v="4"/>
  </r>
  <r>
    <x v="111"/>
    <n v="1021"/>
    <n v="-48"/>
    <n v="4"/>
    <x v="0"/>
    <x v="0"/>
    <x v="1"/>
  </r>
  <r>
    <x v="112"/>
    <n v="556"/>
    <n v="-209"/>
    <n v="7"/>
    <x v="2"/>
    <x v="6"/>
    <x v="0"/>
  </r>
  <r>
    <x v="113"/>
    <n v="63"/>
    <n v="-17"/>
    <n v="6"/>
    <x v="2"/>
    <x v="12"/>
    <x v="0"/>
  </r>
  <r>
    <x v="114"/>
    <n v="734"/>
    <n v="248"/>
    <n v="2"/>
    <x v="1"/>
    <x v="1"/>
    <x v="0"/>
  </r>
  <r>
    <x v="27"/>
    <n v="933"/>
    <n v="166"/>
    <n v="5"/>
    <x v="2"/>
    <x v="6"/>
    <x v="2"/>
  </r>
  <r>
    <x v="115"/>
    <n v="20"/>
    <n v="-9"/>
    <n v="6"/>
    <x v="2"/>
    <x v="7"/>
    <x v="4"/>
  </r>
  <r>
    <x v="116"/>
    <n v="877"/>
    <n v="395"/>
    <n v="2"/>
    <x v="1"/>
    <x v="2"/>
    <x v="2"/>
  </r>
  <r>
    <x v="109"/>
    <n v="719"/>
    <n v="303"/>
    <n v="6"/>
    <x v="1"/>
    <x v="1"/>
    <x v="0"/>
  </r>
  <r>
    <x v="117"/>
    <n v="12"/>
    <n v="1"/>
    <n v="2"/>
    <x v="2"/>
    <x v="7"/>
    <x v="0"/>
  </r>
  <r>
    <x v="118"/>
    <n v="714"/>
    <n v="56"/>
    <n v="4"/>
    <x v="2"/>
    <x v="6"/>
    <x v="0"/>
  </r>
  <r>
    <x v="119"/>
    <n v="50"/>
    <n v="-15"/>
    <n v="4"/>
    <x v="2"/>
    <x v="12"/>
    <x v="0"/>
  </r>
  <r>
    <x v="120"/>
    <n v="709"/>
    <n v="-100"/>
    <n v="5"/>
    <x v="0"/>
    <x v="4"/>
    <x v="0"/>
  </r>
  <r>
    <x v="121"/>
    <n v="21"/>
    <n v="-12"/>
    <n v="3"/>
    <x v="2"/>
    <x v="7"/>
    <x v="4"/>
  </r>
  <r>
    <x v="122"/>
    <n v="693"/>
    <n v="254"/>
    <n v="6"/>
    <x v="2"/>
    <x v="6"/>
    <x v="0"/>
  </r>
  <r>
    <x v="81"/>
    <n v="24"/>
    <n v="1"/>
    <n v="4"/>
    <x v="2"/>
    <x v="7"/>
    <x v="0"/>
  </r>
  <r>
    <x v="123"/>
    <n v="24"/>
    <n v="1"/>
    <n v="2"/>
    <x v="2"/>
    <x v="7"/>
    <x v="3"/>
  </r>
  <r>
    <x v="83"/>
    <n v="24"/>
    <n v="1"/>
    <n v="2"/>
    <x v="2"/>
    <x v="7"/>
    <x v="0"/>
  </r>
  <r>
    <x v="124"/>
    <n v="21"/>
    <n v="10"/>
    <n v="1"/>
    <x v="2"/>
    <x v="14"/>
    <x v="4"/>
  </r>
  <r>
    <x v="125"/>
    <n v="681"/>
    <n v="259"/>
    <n v="4"/>
    <x v="1"/>
    <x v="1"/>
    <x v="0"/>
  </r>
  <r>
    <x v="126"/>
    <n v="674"/>
    <n v="-187"/>
    <n v="2"/>
    <x v="1"/>
    <x v="10"/>
    <x v="0"/>
  </r>
  <r>
    <x v="35"/>
    <n v="671"/>
    <n v="-309"/>
    <n v="5"/>
    <x v="0"/>
    <x v="0"/>
    <x v="0"/>
  </r>
  <r>
    <x v="127"/>
    <n v="646"/>
    <n v="-213"/>
    <n v="3"/>
    <x v="0"/>
    <x v="0"/>
    <x v="0"/>
  </r>
  <r>
    <x v="128"/>
    <n v="40"/>
    <n v="15"/>
    <n v="1"/>
    <x v="2"/>
    <x v="8"/>
    <x v="0"/>
  </r>
  <r>
    <x v="129"/>
    <n v="24"/>
    <n v="-2"/>
    <n v="2"/>
    <x v="2"/>
    <x v="14"/>
    <x v="0"/>
  </r>
  <r>
    <x v="21"/>
    <n v="644"/>
    <n v="167"/>
    <n v="2"/>
    <x v="0"/>
    <x v="3"/>
    <x v="0"/>
  </r>
  <r>
    <x v="130"/>
    <n v="643"/>
    <n v="225"/>
    <n v="2"/>
    <x v="0"/>
    <x v="3"/>
    <x v="0"/>
  </r>
  <r>
    <x v="131"/>
    <n v="632"/>
    <n v="-316"/>
    <n v="6"/>
    <x v="2"/>
    <x v="6"/>
    <x v="0"/>
  </r>
  <r>
    <x v="82"/>
    <n v="632"/>
    <n v="316"/>
    <n v="6"/>
    <x v="2"/>
    <x v="6"/>
    <x v="0"/>
  </r>
  <r>
    <x v="132"/>
    <n v="610"/>
    <n v="208"/>
    <n v="3"/>
    <x v="0"/>
    <x v="3"/>
    <x v="0"/>
  </r>
  <r>
    <x v="92"/>
    <n v="78"/>
    <n v="-28"/>
    <n v="6"/>
    <x v="2"/>
    <x v="8"/>
    <x v="3"/>
  </r>
  <r>
    <x v="133"/>
    <n v="595"/>
    <n v="119"/>
    <n v="4"/>
    <x v="1"/>
    <x v="2"/>
    <x v="0"/>
  </r>
  <r>
    <x v="134"/>
    <n v="595"/>
    <n v="292"/>
    <n v="3"/>
    <x v="2"/>
    <x v="6"/>
    <x v="0"/>
  </r>
  <r>
    <x v="3"/>
    <n v="852"/>
    <n v="51"/>
    <n v="5"/>
    <x v="1"/>
    <x v="2"/>
    <x v="2"/>
  </r>
  <r>
    <x v="135"/>
    <n v="594"/>
    <n v="89"/>
    <n v="3"/>
    <x v="1"/>
    <x v="2"/>
    <x v="0"/>
  </r>
  <r>
    <x v="136"/>
    <n v="585"/>
    <n v="175"/>
    <n v="13"/>
    <x v="2"/>
    <x v="14"/>
    <x v="0"/>
  </r>
  <r>
    <x v="137"/>
    <n v="582"/>
    <n v="262"/>
    <n v="5"/>
    <x v="1"/>
    <x v="15"/>
    <x v="0"/>
  </r>
  <r>
    <x v="138"/>
    <n v="845"/>
    <n v="84"/>
    <n v="7"/>
    <x v="2"/>
    <x v="6"/>
    <x v="2"/>
  </r>
  <r>
    <x v="139"/>
    <n v="829"/>
    <n v="19"/>
    <n v="4"/>
    <x v="0"/>
    <x v="3"/>
    <x v="2"/>
  </r>
  <r>
    <x v="4"/>
    <n v="561"/>
    <n v="212"/>
    <n v="3"/>
    <x v="2"/>
    <x v="6"/>
    <x v="0"/>
  </r>
  <r>
    <x v="73"/>
    <n v="771"/>
    <n v="-424"/>
    <n v="2"/>
    <x v="0"/>
    <x v="4"/>
    <x v="2"/>
  </r>
  <r>
    <x v="140"/>
    <n v="765"/>
    <n v="8"/>
    <n v="6"/>
    <x v="2"/>
    <x v="6"/>
    <x v="1"/>
  </r>
  <r>
    <x v="141"/>
    <n v="31"/>
    <n v="2"/>
    <n v="2"/>
    <x v="2"/>
    <x v="7"/>
    <x v="0"/>
  </r>
  <r>
    <x v="142"/>
    <n v="557"/>
    <n v="-111"/>
    <n v="2"/>
    <x v="0"/>
    <x v="0"/>
    <x v="0"/>
  </r>
  <r>
    <x v="140"/>
    <n v="757"/>
    <n v="371"/>
    <n v="2"/>
    <x v="0"/>
    <x v="3"/>
    <x v="2"/>
  </r>
  <r>
    <x v="143"/>
    <n v="545"/>
    <n v="-73"/>
    <n v="11"/>
    <x v="0"/>
    <x v="4"/>
    <x v="0"/>
  </r>
  <r>
    <x v="144"/>
    <n v="1052"/>
    <n v="-82"/>
    <n v="3"/>
    <x v="1"/>
    <x v="2"/>
    <x v="3"/>
  </r>
  <r>
    <x v="145"/>
    <n v="544"/>
    <n v="-152"/>
    <n v="3"/>
    <x v="1"/>
    <x v="2"/>
    <x v="0"/>
  </r>
  <r>
    <x v="146"/>
    <n v="22"/>
    <n v="9"/>
    <n v="2"/>
    <x v="2"/>
    <x v="12"/>
    <x v="4"/>
  </r>
  <r>
    <x v="23"/>
    <n v="757"/>
    <n v="371"/>
    <n v="2"/>
    <x v="0"/>
    <x v="3"/>
    <x v="2"/>
  </r>
  <r>
    <x v="147"/>
    <n v="742"/>
    <n v="198"/>
    <n v="2"/>
    <x v="1"/>
    <x v="2"/>
    <x v="2"/>
  </r>
  <r>
    <x v="148"/>
    <n v="537"/>
    <n v="107"/>
    <n v="3"/>
    <x v="2"/>
    <x v="6"/>
    <x v="0"/>
  </r>
  <r>
    <x v="140"/>
    <n v="536"/>
    <n v="91"/>
    <n v="1"/>
    <x v="2"/>
    <x v="5"/>
    <x v="0"/>
  </r>
  <r>
    <x v="93"/>
    <n v="6"/>
    <n v="3"/>
    <n v="1"/>
    <x v="2"/>
    <x v="7"/>
    <x v="0"/>
  </r>
  <r>
    <x v="0"/>
    <n v="523"/>
    <n v="204"/>
    <n v="7"/>
    <x v="2"/>
    <x v="5"/>
    <x v="0"/>
  </r>
  <r>
    <x v="149"/>
    <n v="27"/>
    <n v="9"/>
    <n v="2"/>
    <x v="2"/>
    <x v="14"/>
    <x v="3"/>
  </r>
  <r>
    <x v="150"/>
    <n v="516"/>
    <n v="392"/>
    <n v="8"/>
    <x v="1"/>
    <x v="1"/>
    <x v="0"/>
  </r>
  <r>
    <x v="151"/>
    <n v="504"/>
    <n v="116"/>
    <n v="3"/>
    <x v="1"/>
    <x v="2"/>
    <x v="0"/>
  </r>
  <r>
    <x v="152"/>
    <n v="502"/>
    <n v="84"/>
    <n v="4"/>
    <x v="0"/>
    <x v="4"/>
    <x v="0"/>
  </r>
  <r>
    <x v="153"/>
    <n v="734"/>
    <n v="213"/>
    <n v="6"/>
    <x v="0"/>
    <x v="0"/>
    <x v="2"/>
  </r>
  <r>
    <x v="154"/>
    <n v="42"/>
    <n v="12"/>
    <n v="2"/>
    <x v="2"/>
    <x v="8"/>
    <x v="0"/>
  </r>
  <r>
    <x v="155"/>
    <n v="29"/>
    <n v="11"/>
    <n v="4"/>
    <x v="2"/>
    <x v="9"/>
    <x v="0"/>
  </r>
  <r>
    <x v="156"/>
    <n v="240"/>
    <n v="12"/>
    <n v="6"/>
    <x v="2"/>
    <x v="8"/>
    <x v="3"/>
  </r>
  <r>
    <x v="157"/>
    <n v="496"/>
    <n v="-79"/>
    <n v="2"/>
    <x v="2"/>
    <x v="5"/>
    <x v="0"/>
  </r>
  <r>
    <x v="158"/>
    <n v="485"/>
    <n v="29"/>
    <n v="4"/>
    <x v="0"/>
    <x v="0"/>
    <x v="0"/>
  </r>
  <r>
    <x v="159"/>
    <n v="31"/>
    <n v="-11"/>
    <n v="3"/>
    <x v="2"/>
    <x v="9"/>
    <x v="3"/>
  </r>
  <r>
    <x v="160"/>
    <n v="676"/>
    <n v="151"/>
    <n v="3"/>
    <x v="0"/>
    <x v="3"/>
    <x v="2"/>
  </r>
  <r>
    <x v="125"/>
    <n v="23"/>
    <n v="8"/>
    <n v="2"/>
    <x v="2"/>
    <x v="7"/>
    <x v="4"/>
  </r>
  <r>
    <x v="161"/>
    <n v="13"/>
    <n v="3"/>
    <n v="2"/>
    <x v="2"/>
    <x v="7"/>
    <x v="0"/>
  </r>
  <r>
    <x v="162"/>
    <n v="180"/>
    <n v="0"/>
    <n v="8"/>
    <x v="2"/>
    <x v="11"/>
    <x v="0"/>
  </r>
  <r>
    <x v="1"/>
    <n v="671"/>
    <n v="114"/>
    <n v="9"/>
    <x v="0"/>
    <x v="4"/>
    <x v="2"/>
  </r>
  <r>
    <x v="163"/>
    <n v="22"/>
    <n v="11"/>
    <n v="3"/>
    <x v="2"/>
    <x v="8"/>
    <x v="0"/>
  </r>
  <r>
    <x v="87"/>
    <n v="668"/>
    <n v="-31"/>
    <n v="3"/>
    <x v="0"/>
    <x v="3"/>
    <x v="2"/>
  </r>
  <r>
    <x v="92"/>
    <n v="145"/>
    <n v="0"/>
    <n v="3"/>
    <x v="2"/>
    <x v="6"/>
    <x v="3"/>
  </r>
  <r>
    <x v="164"/>
    <n v="24"/>
    <n v="8"/>
    <n v="2"/>
    <x v="2"/>
    <x v="9"/>
    <x v="4"/>
  </r>
  <r>
    <x v="57"/>
    <n v="476"/>
    <n v="0"/>
    <n v="3"/>
    <x v="1"/>
    <x v="1"/>
    <x v="0"/>
  </r>
  <r>
    <x v="153"/>
    <n v="24"/>
    <n v="11"/>
    <n v="5"/>
    <x v="2"/>
    <x v="7"/>
    <x v="4"/>
  </r>
  <r>
    <x v="5"/>
    <n v="37"/>
    <n v="3"/>
    <n v="3"/>
    <x v="2"/>
    <x v="7"/>
    <x v="0"/>
  </r>
  <r>
    <x v="165"/>
    <n v="152"/>
    <n v="50"/>
    <n v="6"/>
    <x v="2"/>
    <x v="11"/>
    <x v="3"/>
  </r>
  <r>
    <x v="166"/>
    <n v="32"/>
    <n v="11"/>
    <n v="2"/>
    <x v="2"/>
    <x v="12"/>
    <x v="3"/>
  </r>
  <r>
    <x v="167"/>
    <n v="52"/>
    <n v="11"/>
    <n v="5"/>
    <x v="2"/>
    <x v="12"/>
    <x v="0"/>
  </r>
  <r>
    <x v="168"/>
    <n v="24"/>
    <n v="11"/>
    <n v="3"/>
    <x v="2"/>
    <x v="7"/>
    <x v="4"/>
  </r>
  <r>
    <x v="91"/>
    <n v="473"/>
    <n v="42"/>
    <n v="4"/>
    <x v="1"/>
    <x v="1"/>
    <x v="0"/>
  </r>
  <r>
    <x v="169"/>
    <n v="263"/>
    <n v="50"/>
    <n v="5"/>
    <x v="2"/>
    <x v="11"/>
    <x v="0"/>
  </r>
  <r>
    <x v="170"/>
    <n v="61"/>
    <n v="11"/>
    <n v="3"/>
    <x v="2"/>
    <x v="8"/>
    <x v="0"/>
  </r>
  <r>
    <x v="171"/>
    <n v="469"/>
    <n v="-459"/>
    <n v="3"/>
    <x v="0"/>
    <x v="0"/>
    <x v="0"/>
  </r>
  <r>
    <x v="172"/>
    <n v="1272"/>
    <n v="547"/>
    <n v="2"/>
    <x v="0"/>
    <x v="4"/>
    <x v="0"/>
  </r>
  <r>
    <x v="168"/>
    <n v="169"/>
    <n v="0"/>
    <n v="3"/>
    <x v="0"/>
    <x v="13"/>
    <x v="0"/>
  </r>
  <r>
    <x v="103"/>
    <n v="25"/>
    <n v="11"/>
    <n v="3"/>
    <x v="2"/>
    <x v="12"/>
    <x v="4"/>
  </r>
  <r>
    <x v="89"/>
    <n v="457"/>
    <n v="-41"/>
    <n v="4"/>
    <x v="2"/>
    <x v="6"/>
    <x v="0"/>
  </r>
  <r>
    <x v="103"/>
    <n v="455"/>
    <n v="77"/>
    <n v="8"/>
    <x v="0"/>
    <x v="13"/>
    <x v="0"/>
  </r>
  <r>
    <x v="96"/>
    <n v="25"/>
    <n v="2"/>
    <n v="2"/>
    <x v="2"/>
    <x v="7"/>
    <x v="4"/>
  </r>
  <r>
    <x v="173"/>
    <n v="450"/>
    <n v="-90"/>
    <n v="3"/>
    <x v="0"/>
    <x v="3"/>
    <x v="0"/>
  </r>
  <r>
    <x v="174"/>
    <n v="30"/>
    <n v="-35"/>
    <n v="1"/>
    <x v="1"/>
    <x v="1"/>
    <x v="0"/>
  </r>
  <r>
    <x v="175"/>
    <n v="659"/>
    <n v="-37"/>
    <n v="2"/>
    <x v="1"/>
    <x v="2"/>
    <x v="2"/>
  </r>
  <r>
    <x v="176"/>
    <n v="448"/>
    <n v="148"/>
    <n v="2"/>
    <x v="0"/>
    <x v="3"/>
    <x v="0"/>
  </r>
  <r>
    <x v="177"/>
    <n v="446"/>
    <n v="53"/>
    <n v="3"/>
    <x v="0"/>
    <x v="3"/>
    <x v="0"/>
  </r>
  <r>
    <x v="178"/>
    <n v="98"/>
    <n v="-45"/>
    <n v="2"/>
    <x v="1"/>
    <x v="1"/>
    <x v="3"/>
  </r>
  <r>
    <x v="1"/>
    <n v="443"/>
    <n v="11"/>
    <n v="1"/>
    <x v="2"/>
    <x v="6"/>
    <x v="0"/>
  </r>
  <r>
    <x v="87"/>
    <n v="427"/>
    <n v="-50"/>
    <n v="7"/>
    <x v="0"/>
    <x v="4"/>
    <x v="0"/>
  </r>
  <r>
    <x v="123"/>
    <n v="656"/>
    <n v="-36"/>
    <n v="2"/>
    <x v="1"/>
    <x v="2"/>
    <x v="2"/>
  </r>
  <r>
    <x v="179"/>
    <n v="424"/>
    <n v="161"/>
    <n v="2"/>
    <x v="2"/>
    <x v="6"/>
    <x v="0"/>
  </r>
  <r>
    <x v="76"/>
    <n v="27"/>
    <n v="8"/>
    <n v="2"/>
    <x v="2"/>
    <x v="14"/>
    <x v="4"/>
  </r>
  <r>
    <x v="4"/>
    <n v="424"/>
    <n v="-272"/>
    <n v="5"/>
    <x v="0"/>
    <x v="4"/>
    <x v="0"/>
  </r>
  <r>
    <x v="180"/>
    <n v="202"/>
    <n v="4"/>
    <n v="4"/>
    <x v="2"/>
    <x v="7"/>
    <x v="0"/>
  </r>
  <r>
    <x v="154"/>
    <n v="1275"/>
    <n v="357"/>
    <n v="2"/>
    <x v="0"/>
    <x v="4"/>
    <x v="3"/>
  </r>
  <r>
    <x v="14"/>
    <n v="418"/>
    <n v="70"/>
    <n v="7"/>
    <x v="0"/>
    <x v="4"/>
    <x v="0"/>
  </r>
  <r>
    <x v="181"/>
    <n v="417"/>
    <n v="49"/>
    <n v="3"/>
    <x v="0"/>
    <x v="0"/>
    <x v="0"/>
  </r>
  <r>
    <x v="18"/>
    <n v="199"/>
    <n v="48"/>
    <n v="4"/>
    <x v="2"/>
    <x v="11"/>
    <x v="3"/>
  </r>
  <r>
    <x v="129"/>
    <n v="385"/>
    <n v="-77"/>
    <n v="11"/>
    <x v="1"/>
    <x v="15"/>
    <x v="3"/>
  </r>
  <r>
    <x v="132"/>
    <n v="414"/>
    <n v="199"/>
    <n v="3"/>
    <x v="0"/>
    <x v="4"/>
    <x v="0"/>
  </r>
  <r>
    <x v="10"/>
    <n v="97"/>
    <n v="-45"/>
    <n v="4"/>
    <x v="2"/>
    <x v="6"/>
    <x v="0"/>
  </r>
  <r>
    <x v="182"/>
    <n v="648"/>
    <n v="50"/>
    <n v="6"/>
    <x v="0"/>
    <x v="0"/>
    <x v="2"/>
  </r>
  <r>
    <x v="183"/>
    <n v="27"/>
    <n v="-25"/>
    <n v="2"/>
    <x v="2"/>
    <x v="16"/>
    <x v="4"/>
  </r>
  <r>
    <x v="184"/>
    <n v="27"/>
    <n v="12"/>
    <n v="1"/>
    <x v="2"/>
    <x v="11"/>
    <x v="4"/>
  </r>
  <r>
    <x v="185"/>
    <n v="27"/>
    <n v="1"/>
    <n v="1"/>
    <x v="2"/>
    <x v="11"/>
    <x v="3"/>
  </r>
  <r>
    <x v="37"/>
    <n v="413"/>
    <n v="-314"/>
    <n v="9"/>
    <x v="1"/>
    <x v="1"/>
    <x v="0"/>
  </r>
  <r>
    <x v="99"/>
    <n v="53"/>
    <n v="2"/>
    <n v="4"/>
    <x v="2"/>
    <x v="7"/>
    <x v="0"/>
  </r>
  <r>
    <x v="51"/>
    <n v="29"/>
    <n v="8"/>
    <n v="5"/>
    <x v="2"/>
    <x v="7"/>
    <x v="3"/>
  </r>
  <r>
    <x v="186"/>
    <n v="30"/>
    <n v="13"/>
    <n v="1"/>
    <x v="2"/>
    <x v="14"/>
    <x v="3"/>
  </r>
  <r>
    <x v="187"/>
    <n v="412"/>
    <n v="412"/>
    <n v="6"/>
    <x v="2"/>
    <x v="6"/>
    <x v="0"/>
  </r>
  <r>
    <x v="188"/>
    <n v="646"/>
    <n v="-23"/>
    <n v="2"/>
    <x v="0"/>
    <x v="3"/>
    <x v="2"/>
  </r>
  <r>
    <x v="93"/>
    <n v="30"/>
    <n v="-5"/>
    <n v="5"/>
    <x v="2"/>
    <x v="11"/>
    <x v="3"/>
  </r>
  <r>
    <x v="99"/>
    <n v="618"/>
    <n v="27"/>
    <n v="4"/>
    <x v="1"/>
    <x v="2"/>
    <x v="2"/>
  </r>
  <r>
    <x v="189"/>
    <n v="143"/>
    <n v="-124"/>
    <n v="5"/>
    <x v="2"/>
    <x v="6"/>
    <x v="3"/>
  </r>
  <r>
    <x v="37"/>
    <n v="31"/>
    <n v="1"/>
    <n v="2"/>
    <x v="2"/>
    <x v="7"/>
    <x v="3"/>
  </r>
  <r>
    <x v="98"/>
    <n v="409"/>
    <n v="86"/>
    <n v="3"/>
    <x v="2"/>
    <x v="6"/>
    <x v="0"/>
  </r>
  <r>
    <x v="93"/>
    <n v="406"/>
    <n v="126"/>
    <n v="2"/>
    <x v="2"/>
    <x v="6"/>
    <x v="0"/>
  </r>
  <r>
    <x v="190"/>
    <n v="565"/>
    <n v="66"/>
    <n v="7"/>
    <x v="2"/>
    <x v="6"/>
    <x v="2"/>
  </r>
  <r>
    <x v="135"/>
    <n v="85"/>
    <n v="2"/>
    <n v="6"/>
    <x v="2"/>
    <x v="11"/>
    <x v="0"/>
  </r>
  <r>
    <x v="191"/>
    <n v="561"/>
    <n v="118"/>
    <n v="5"/>
    <x v="1"/>
    <x v="2"/>
    <x v="2"/>
  </r>
  <r>
    <x v="192"/>
    <n v="503"/>
    <n v="-56"/>
    <n v="2"/>
    <x v="2"/>
    <x v="5"/>
    <x v="0"/>
  </r>
  <r>
    <x v="156"/>
    <n v="31"/>
    <n v="14"/>
    <n v="3"/>
    <x v="2"/>
    <x v="11"/>
    <x v="3"/>
  </r>
  <r>
    <x v="193"/>
    <n v="398"/>
    <n v="111"/>
    <n v="8"/>
    <x v="2"/>
    <x v="7"/>
    <x v="0"/>
  </r>
  <r>
    <x v="194"/>
    <n v="388"/>
    <n v="93"/>
    <n v="2"/>
    <x v="1"/>
    <x v="2"/>
    <x v="0"/>
  </r>
  <r>
    <x v="34"/>
    <n v="498"/>
    <n v="-116"/>
    <n v="4"/>
    <x v="2"/>
    <x v="6"/>
    <x v="3"/>
  </r>
  <r>
    <x v="195"/>
    <n v="561"/>
    <n v="212"/>
    <n v="3"/>
    <x v="2"/>
    <x v="6"/>
    <x v="2"/>
  </r>
  <r>
    <x v="196"/>
    <n v="61"/>
    <n v="3"/>
    <n v="4"/>
    <x v="2"/>
    <x v="7"/>
    <x v="0"/>
  </r>
  <r>
    <x v="197"/>
    <n v="34"/>
    <n v="-22"/>
    <n v="4"/>
    <x v="2"/>
    <x v="14"/>
    <x v="0"/>
  </r>
  <r>
    <x v="198"/>
    <n v="32"/>
    <n v="6"/>
    <n v="3"/>
    <x v="2"/>
    <x v="16"/>
    <x v="3"/>
  </r>
  <r>
    <x v="16"/>
    <n v="623"/>
    <n v="-192"/>
    <n v="3"/>
    <x v="1"/>
    <x v="10"/>
    <x v="3"/>
  </r>
  <r>
    <x v="199"/>
    <n v="520"/>
    <n v="151"/>
    <n v="3"/>
    <x v="0"/>
    <x v="4"/>
    <x v="2"/>
  </r>
  <r>
    <x v="82"/>
    <n v="32"/>
    <n v="-16"/>
    <n v="6"/>
    <x v="2"/>
    <x v="6"/>
    <x v="3"/>
  </r>
  <r>
    <x v="10"/>
    <n v="32"/>
    <n v="-5"/>
    <n v="5"/>
    <x v="2"/>
    <x v="7"/>
    <x v="3"/>
  </r>
  <r>
    <x v="200"/>
    <n v="510"/>
    <n v="234"/>
    <n v="6"/>
    <x v="0"/>
    <x v="0"/>
    <x v="1"/>
  </r>
  <r>
    <x v="201"/>
    <n v="382"/>
    <n v="68"/>
    <n v="3"/>
    <x v="2"/>
    <x v="6"/>
    <x v="0"/>
  </r>
  <r>
    <x v="85"/>
    <n v="33"/>
    <n v="13"/>
    <n v="3"/>
    <x v="2"/>
    <x v="12"/>
    <x v="3"/>
  </r>
  <r>
    <x v="28"/>
    <n v="381"/>
    <n v="-13"/>
    <n v="2"/>
    <x v="2"/>
    <x v="6"/>
    <x v="0"/>
  </r>
  <r>
    <x v="58"/>
    <n v="490"/>
    <n v="88"/>
    <n v="2"/>
    <x v="0"/>
    <x v="13"/>
    <x v="1"/>
  </r>
  <r>
    <x v="202"/>
    <n v="381"/>
    <n v="144"/>
    <n v="2"/>
    <x v="2"/>
    <x v="6"/>
    <x v="0"/>
  </r>
  <r>
    <x v="198"/>
    <n v="487"/>
    <n v="143"/>
    <n v="4"/>
    <x v="0"/>
    <x v="4"/>
    <x v="1"/>
  </r>
  <r>
    <x v="177"/>
    <n v="366"/>
    <n v="84"/>
    <n v="3"/>
    <x v="1"/>
    <x v="2"/>
    <x v="0"/>
  </r>
  <r>
    <x v="178"/>
    <n v="33"/>
    <n v="-29"/>
    <n v="3"/>
    <x v="2"/>
    <x v="16"/>
    <x v="3"/>
  </r>
  <r>
    <x v="105"/>
    <n v="365"/>
    <n v="107"/>
    <n v="3"/>
    <x v="0"/>
    <x v="4"/>
    <x v="0"/>
  </r>
  <r>
    <x v="187"/>
    <n v="207"/>
    <n v="-100"/>
    <n v="2"/>
    <x v="2"/>
    <x v="6"/>
    <x v="3"/>
  </r>
  <r>
    <x v="168"/>
    <n v="359"/>
    <n v="-338"/>
    <n v="5"/>
    <x v="1"/>
    <x v="2"/>
    <x v="0"/>
  </r>
  <r>
    <x v="104"/>
    <n v="351"/>
    <n v="-47"/>
    <n v="8"/>
    <x v="0"/>
    <x v="4"/>
    <x v="0"/>
  </r>
  <r>
    <x v="81"/>
    <n v="485"/>
    <n v="199"/>
    <n v="4"/>
    <x v="2"/>
    <x v="6"/>
    <x v="1"/>
  </r>
  <r>
    <x v="8"/>
    <n v="37"/>
    <n v="-23"/>
    <n v="4"/>
    <x v="2"/>
    <x v="16"/>
    <x v="3"/>
  </r>
  <r>
    <x v="86"/>
    <n v="34"/>
    <n v="10"/>
    <n v="2"/>
    <x v="2"/>
    <x v="14"/>
    <x v="4"/>
  </r>
  <r>
    <x v="203"/>
    <n v="346"/>
    <n v="108"/>
    <n v="3"/>
    <x v="1"/>
    <x v="1"/>
    <x v="0"/>
  </r>
  <r>
    <x v="126"/>
    <n v="342"/>
    <n v="-103"/>
    <n v="4"/>
    <x v="0"/>
    <x v="0"/>
    <x v="0"/>
  </r>
  <r>
    <x v="204"/>
    <n v="35"/>
    <n v="-8"/>
    <n v="2"/>
    <x v="1"/>
    <x v="15"/>
    <x v="4"/>
  </r>
  <r>
    <x v="205"/>
    <n v="121"/>
    <n v="41"/>
    <n v="4"/>
    <x v="2"/>
    <x v="11"/>
    <x v="3"/>
  </r>
  <r>
    <x v="103"/>
    <n v="336"/>
    <n v="57"/>
    <n v="2"/>
    <x v="0"/>
    <x v="4"/>
    <x v="0"/>
  </r>
  <r>
    <x v="9"/>
    <n v="336"/>
    <n v="71"/>
    <n v="3"/>
    <x v="1"/>
    <x v="2"/>
    <x v="0"/>
  </r>
  <r>
    <x v="206"/>
    <n v="27"/>
    <n v="4"/>
    <n v="1"/>
    <x v="2"/>
    <x v="7"/>
    <x v="0"/>
  </r>
  <r>
    <x v="141"/>
    <n v="333"/>
    <n v="50"/>
    <n v="2"/>
    <x v="0"/>
    <x v="4"/>
    <x v="0"/>
  </r>
  <r>
    <x v="5"/>
    <n v="36"/>
    <n v="7"/>
    <n v="3"/>
    <x v="2"/>
    <x v="12"/>
    <x v="4"/>
  </r>
  <r>
    <x v="207"/>
    <n v="333"/>
    <n v="-15"/>
    <n v="3"/>
    <x v="0"/>
    <x v="4"/>
    <x v="0"/>
  </r>
  <r>
    <x v="208"/>
    <n v="327"/>
    <n v="114"/>
    <n v="4"/>
    <x v="2"/>
    <x v="5"/>
    <x v="0"/>
  </r>
  <r>
    <x v="209"/>
    <n v="18"/>
    <n v="6"/>
    <n v="3"/>
    <x v="2"/>
    <x v="7"/>
    <x v="3"/>
  </r>
  <r>
    <x v="198"/>
    <n v="325"/>
    <n v="32"/>
    <n v="7"/>
    <x v="2"/>
    <x v="14"/>
    <x v="0"/>
  </r>
  <r>
    <x v="210"/>
    <n v="482"/>
    <n v="-6"/>
    <n v="7"/>
    <x v="0"/>
    <x v="0"/>
    <x v="1"/>
  </r>
  <r>
    <x v="13"/>
    <n v="465"/>
    <n v="-33"/>
    <n v="4"/>
    <x v="0"/>
    <x v="4"/>
    <x v="1"/>
  </r>
  <r>
    <x v="112"/>
    <n v="40"/>
    <n v="-12"/>
    <n v="3"/>
    <x v="2"/>
    <x v="16"/>
    <x v="0"/>
  </r>
  <r>
    <x v="117"/>
    <n v="107"/>
    <n v="36"/>
    <n v="6"/>
    <x v="2"/>
    <x v="11"/>
    <x v="0"/>
  </r>
  <r>
    <x v="15"/>
    <n v="312"/>
    <n v="-312"/>
    <n v="7"/>
    <x v="1"/>
    <x v="1"/>
    <x v="0"/>
  </r>
  <r>
    <x v="211"/>
    <n v="451"/>
    <n v="25"/>
    <n v="3"/>
    <x v="0"/>
    <x v="4"/>
    <x v="1"/>
  </r>
  <r>
    <x v="145"/>
    <n v="312"/>
    <n v="62"/>
    <n v="1"/>
    <x v="0"/>
    <x v="0"/>
    <x v="0"/>
  </r>
  <r>
    <x v="212"/>
    <n v="311"/>
    <n v="72"/>
    <n v="2"/>
    <x v="1"/>
    <x v="2"/>
    <x v="0"/>
  </r>
  <r>
    <x v="213"/>
    <n v="11"/>
    <n v="5"/>
    <n v="2"/>
    <x v="2"/>
    <x v="7"/>
    <x v="3"/>
  </r>
  <r>
    <x v="189"/>
    <n v="37"/>
    <n v="-5"/>
    <n v="3"/>
    <x v="2"/>
    <x v="14"/>
    <x v="4"/>
  </r>
  <r>
    <x v="214"/>
    <n v="444"/>
    <n v="-200"/>
    <n v="4"/>
    <x v="0"/>
    <x v="4"/>
    <x v="1"/>
  </r>
  <r>
    <x v="215"/>
    <n v="434"/>
    <n v="26"/>
    <n v="11"/>
    <x v="2"/>
    <x v="16"/>
    <x v="2"/>
  </r>
  <r>
    <x v="216"/>
    <n v="299"/>
    <n v="0"/>
    <n v="6"/>
    <x v="2"/>
    <x v="11"/>
    <x v="0"/>
  </r>
  <r>
    <x v="103"/>
    <n v="37"/>
    <n v="17"/>
    <n v="3"/>
    <x v="2"/>
    <x v="7"/>
    <x v="4"/>
  </r>
  <r>
    <x v="217"/>
    <n v="299"/>
    <n v="113"/>
    <n v="2"/>
    <x v="1"/>
    <x v="2"/>
    <x v="0"/>
  </r>
  <r>
    <x v="218"/>
    <n v="298"/>
    <n v="74"/>
    <n v="2"/>
    <x v="1"/>
    <x v="2"/>
    <x v="0"/>
  </r>
  <r>
    <x v="219"/>
    <n v="94"/>
    <n v="7"/>
    <n v="7"/>
    <x v="2"/>
    <x v="12"/>
    <x v="3"/>
  </r>
  <r>
    <x v="220"/>
    <n v="296"/>
    <n v="225"/>
    <n v="11"/>
    <x v="2"/>
    <x v="6"/>
    <x v="0"/>
  </r>
  <r>
    <x v="221"/>
    <n v="37"/>
    <n v="17"/>
    <n v="3"/>
    <x v="2"/>
    <x v="7"/>
    <x v="4"/>
  </r>
  <r>
    <x v="222"/>
    <n v="291"/>
    <n v="93"/>
    <n v="2"/>
    <x v="0"/>
    <x v="3"/>
    <x v="0"/>
  </r>
  <r>
    <x v="183"/>
    <n v="327"/>
    <n v="-39"/>
    <n v="1"/>
    <x v="0"/>
    <x v="4"/>
    <x v="0"/>
  </r>
  <r>
    <x v="199"/>
    <n v="291"/>
    <n v="119"/>
    <n v="11"/>
    <x v="2"/>
    <x v="6"/>
    <x v="0"/>
  </r>
  <r>
    <x v="159"/>
    <n v="287"/>
    <n v="-66"/>
    <n v="6"/>
    <x v="2"/>
    <x v="8"/>
    <x v="0"/>
  </r>
  <r>
    <x v="223"/>
    <n v="42"/>
    <n v="15"/>
    <n v="1"/>
    <x v="0"/>
    <x v="13"/>
    <x v="3"/>
  </r>
  <r>
    <x v="180"/>
    <n v="429"/>
    <n v="61"/>
    <n v="3"/>
    <x v="0"/>
    <x v="0"/>
    <x v="2"/>
  </r>
  <r>
    <x v="224"/>
    <n v="285"/>
    <n v="128"/>
    <n v="2"/>
    <x v="0"/>
    <x v="3"/>
    <x v="0"/>
  </r>
  <r>
    <x v="225"/>
    <n v="277"/>
    <n v="3"/>
    <n v="1"/>
    <x v="0"/>
    <x v="0"/>
    <x v="0"/>
  </r>
  <r>
    <x v="23"/>
    <n v="274"/>
    <n v="-7"/>
    <n v="4"/>
    <x v="0"/>
    <x v="4"/>
    <x v="0"/>
  </r>
  <r>
    <x v="226"/>
    <n v="273"/>
    <n v="-87"/>
    <n v="4"/>
    <x v="0"/>
    <x v="4"/>
    <x v="0"/>
  </r>
  <r>
    <x v="140"/>
    <n v="269"/>
    <n v="91"/>
    <n v="1"/>
    <x v="0"/>
    <x v="0"/>
    <x v="0"/>
  </r>
  <r>
    <x v="222"/>
    <n v="11"/>
    <n v="5"/>
    <n v="1"/>
    <x v="2"/>
    <x v="9"/>
    <x v="0"/>
  </r>
  <r>
    <x v="2"/>
    <n v="39"/>
    <n v="2"/>
    <n v="2"/>
    <x v="2"/>
    <x v="6"/>
    <x v="4"/>
  </r>
  <r>
    <x v="211"/>
    <n v="264"/>
    <n v="-26"/>
    <n v="3"/>
    <x v="2"/>
    <x v="5"/>
    <x v="0"/>
  </r>
  <r>
    <x v="227"/>
    <n v="40"/>
    <n v="16"/>
    <n v="3"/>
    <x v="2"/>
    <x v="7"/>
    <x v="4"/>
  </r>
  <r>
    <x v="228"/>
    <n v="41"/>
    <n v="19"/>
    <n v="2"/>
    <x v="2"/>
    <x v="14"/>
    <x v="4"/>
  </r>
  <r>
    <x v="190"/>
    <n v="253"/>
    <n v="-63"/>
    <n v="2"/>
    <x v="2"/>
    <x v="6"/>
    <x v="3"/>
  </r>
  <r>
    <x v="229"/>
    <n v="406"/>
    <n v="97"/>
    <n v="7"/>
    <x v="1"/>
    <x v="1"/>
    <x v="2"/>
  </r>
  <r>
    <x v="230"/>
    <n v="32"/>
    <n v="7"/>
    <n v="3"/>
    <x v="2"/>
    <x v="7"/>
    <x v="0"/>
  </r>
  <r>
    <x v="145"/>
    <n v="260"/>
    <n v="68"/>
    <n v="2"/>
    <x v="0"/>
    <x v="3"/>
    <x v="0"/>
  </r>
  <r>
    <x v="231"/>
    <n v="41"/>
    <n v="19"/>
    <n v="5"/>
    <x v="2"/>
    <x v="7"/>
    <x v="4"/>
  </r>
  <r>
    <x v="30"/>
    <n v="401"/>
    <n v="13"/>
    <n v="6"/>
    <x v="1"/>
    <x v="1"/>
    <x v="2"/>
  </r>
  <r>
    <x v="227"/>
    <n v="382"/>
    <n v="30"/>
    <n v="3"/>
    <x v="2"/>
    <x v="6"/>
    <x v="2"/>
  </r>
  <r>
    <x v="232"/>
    <n v="867"/>
    <n v="251"/>
    <n v="5"/>
    <x v="0"/>
    <x v="4"/>
    <x v="0"/>
  </r>
  <r>
    <x v="233"/>
    <n v="43"/>
    <n v="0"/>
    <n v="3"/>
    <x v="2"/>
    <x v="6"/>
    <x v="4"/>
  </r>
  <r>
    <x v="234"/>
    <n v="43"/>
    <n v="-43"/>
    <n v="7"/>
    <x v="2"/>
    <x v="11"/>
    <x v="4"/>
  </r>
  <r>
    <x v="185"/>
    <n v="74"/>
    <n v="29"/>
    <n v="3"/>
    <x v="2"/>
    <x v="11"/>
    <x v="0"/>
  </r>
  <r>
    <x v="15"/>
    <n v="44"/>
    <n v="-26"/>
    <n v="3"/>
    <x v="2"/>
    <x v="7"/>
    <x v="4"/>
  </r>
  <r>
    <x v="235"/>
    <n v="259"/>
    <n v="-55"/>
    <n v="2"/>
    <x v="1"/>
    <x v="1"/>
    <x v="0"/>
  </r>
  <r>
    <x v="57"/>
    <n v="257"/>
    <n v="23"/>
    <n v="5"/>
    <x v="2"/>
    <x v="7"/>
    <x v="0"/>
  </r>
  <r>
    <x v="97"/>
    <n v="76"/>
    <n v="27"/>
    <n v="5"/>
    <x v="2"/>
    <x v="11"/>
    <x v="0"/>
  </r>
  <r>
    <x v="236"/>
    <n v="44"/>
    <n v="-32"/>
    <n v="3"/>
    <x v="2"/>
    <x v="11"/>
    <x v="4"/>
  </r>
  <r>
    <x v="237"/>
    <n v="257"/>
    <n v="3"/>
    <n v="2"/>
    <x v="2"/>
    <x v="6"/>
    <x v="0"/>
  </r>
  <r>
    <x v="238"/>
    <n v="255"/>
    <n v="76"/>
    <n v="9"/>
    <x v="2"/>
    <x v="7"/>
    <x v="0"/>
  </r>
  <r>
    <x v="239"/>
    <n v="44"/>
    <n v="14"/>
    <n v="3"/>
    <x v="2"/>
    <x v="7"/>
    <x v="4"/>
  </r>
  <r>
    <x v="189"/>
    <n v="45"/>
    <n v="-2"/>
    <n v="4"/>
    <x v="2"/>
    <x v="16"/>
    <x v="0"/>
  </r>
  <r>
    <x v="0"/>
    <n v="44"/>
    <n v="-3"/>
    <n v="1"/>
    <x v="2"/>
    <x v="6"/>
    <x v="4"/>
  </r>
  <r>
    <x v="58"/>
    <n v="382"/>
    <n v="119"/>
    <n v="2"/>
    <x v="2"/>
    <x v="6"/>
    <x v="2"/>
  </r>
  <r>
    <x v="147"/>
    <n v="250"/>
    <n v="100"/>
    <n v="3"/>
    <x v="2"/>
    <x v="5"/>
    <x v="0"/>
  </r>
  <r>
    <x v="240"/>
    <n v="45"/>
    <n v="-15"/>
    <n v="2"/>
    <x v="1"/>
    <x v="1"/>
    <x v="0"/>
  </r>
  <r>
    <x v="135"/>
    <n v="246"/>
    <n v="61"/>
    <n v="2"/>
    <x v="1"/>
    <x v="2"/>
    <x v="0"/>
  </r>
  <r>
    <x v="222"/>
    <n v="50"/>
    <n v="25"/>
    <n v="5"/>
    <x v="2"/>
    <x v="11"/>
    <x v="0"/>
  </r>
  <r>
    <x v="241"/>
    <n v="246"/>
    <n v="98"/>
    <n v="5"/>
    <x v="2"/>
    <x v="7"/>
    <x v="0"/>
  </r>
  <r>
    <x v="6"/>
    <n v="44"/>
    <n v="99"/>
    <n v="3"/>
    <x v="2"/>
    <x v="8"/>
    <x v="4"/>
  </r>
  <r>
    <x v="242"/>
    <n v="245"/>
    <n v="-78"/>
    <n v="3"/>
    <x v="2"/>
    <x v="6"/>
    <x v="0"/>
  </r>
  <r>
    <x v="155"/>
    <n v="245"/>
    <n v="30"/>
    <n v="2"/>
    <x v="2"/>
    <x v="6"/>
    <x v="0"/>
  </r>
  <r>
    <x v="243"/>
    <n v="376"/>
    <n v="0"/>
    <n v="7"/>
    <x v="2"/>
    <x v="11"/>
    <x v="2"/>
  </r>
  <r>
    <x v="81"/>
    <n v="45"/>
    <n v="1"/>
    <n v="3"/>
    <x v="2"/>
    <x v="14"/>
    <x v="4"/>
  </r>
  <r>
    <x v="244"/>
    <n v="45"/>
    <n v="-28"/>
    <n v="2"/>
    <x v="2"/>
    <x v="11"/>
    <x v="4"/>
  </r>
  <r>
    <x v="245"/>
    <n v="244"/>
    <n v="-122"/>
    <n v="5"/>
    <x v="1"/>
    <x v="15"/>
    <x v="0"/>
  </r>
  <r>
    <x v="246"/>
    <n v="244"/>
    <n v="83"/>
    <n v="2"/>
    <x v="1"/>
    <x v="2"/>
    <x v="0"/>
  </r>
  <r>
    <x v="138"/>
    <n v="10"/>
    <n v="4"/>
    <n v="1"/>
    <x v="2"/>
    <x v="8"/>
    <x v="3"/>
  </r>
  <r>
    <x v="217"/>
    <n v="375"/>
    <n v="180"/>
    <n v="3"/>
    <x v="1"/>
    <x v="2"/>
    <x v="2"/>
  </r>
  <r>
    <x v="74"/>
    <n v="46"/>
    <n v="14"/>
    <n v="5"/>
    <x v="2"/>
    <x v="9"/>
    <x v="4"/>
  </r>
  <r>
    <x v="247"/>
    <n v="49"/>
    <n v="-31"/>
    <n v="2"/>
    <x v="2"/>
    <x v="11"/>
    <x v="3"/>
  </r>
  <r>
    <x v="248"/>
    <n v="47"/>
    <n v="-20"/>
    <n v="2"/>
    <x v="2"/>
    <x v="8"/>
    <x v="4"/>
  </r>
  <r>
    <x v="170"/>
    <n v="355"/>
    <n v="-114"/>
    <n v="7"/>
    <x v="2"/>
    <x v="11"/>
    <x v="2"/>
  </r>
  <r>
    <x v="249"/>
    <n v="32"/>
    <n v="8"/>
    <n v="5"/>
    <x v="2"/>
    <x v="7"/>
    <x v="3"/>
  </r>
  <r>
    <x v="0"/>
    <n v="243"/>
    <n v="-14"/>
    <n v="2"/>
    <x v="1"/>
    <x v="1"/>
    <x v="0"/>
  </r>
  <r>
    <x v="250"/>
    <n v="241"/>
    <n v="-77"/>
    <n v="4"/>
    <x v="0"/>
    <x v="0"/>
    <x v="0"/>
  </r>
  <r>
    <x v="251"/>
    <n v="47"/>
    <n v="15"/>
    <n v="5"/>
    <x v="2"/>
    <x v="6"/>
    <x v="4"/>
  </r>
  <r>
    <x v="24"/>
    <n v="50"/>
    <n v="-10"/>
    <n v="6"/>
    <x v="2"/>
    <x v="9"/>
    <x v="4"/>
  </r>
  <r>
    <x v="179"/>
    <n v="15"/>
    <n v="6"/>
    <n v="2"/>
    <x v="2"/>
    <x v="7"/>
    <x v="0"/>
  </r>
  <r>
    <x v="81"/>
    <n v="148"/>
    <n v="24"/>
    <n v="3"/>
    <x v="2"/>
    <x v="11"/>
    <x v="0"/>
  </r>
  <r>
    <x v="252"/>
    <n v="299"/>
    <n v="-28"/>
    <n v="3"/>
    <x v="0"/>
    <x v="0"/>
    <x v="3"/>
  </r>
  <r>
    <x v="82"/>
    <n v="68"/>
    <n v="-30"/>
    <n v="1"/>
    <x v="0"/>
    <x v="4"/>
    <x v="3"/>
  </r>
  <r>
    <x v="81"/>
    <n v="52"/>
    <n v="18"/>
    <n v="5"/>
    <x v="2"/>
    <x v="12"/>
    <x v="4"/>
  </r>
  <r>
    <x v="131"/>
    <n v="239"/>
    <n v="-162"/>
    <n v="5"/>
    <x v="1"/>
    <x v="1"/>
    <x v="0"/>
  </r>
  <r>
    <x v="135"/>
    <n v="27"/>
    <n v="6"/>
    <n v="3"/>
    <x v="2"/>
    <x v="9"/>
    <x v="0"/>
  </r>
  <r>
    <x v="104"/>
    <n v="238"/>
    <n v="20"/>
    <n v="2"/>
    <x v="2"/>
    <x v="6"/>
    <x v="0"/>
  </r>
  <r>
    <x v="177"/>
    <n v="48"/>
    <n v="16"/>
    <n v="3"/>
    <x v="2"/>
    <x v="16"/>
    <x v="0"/>
  </r>
  <r>
    <x v="253"/>
    <n v="66"/>
    <n v="22"/>
    <n v="3"/>
    <x v="2"/>
    <x v="11"/>
    <x v="3"/>
  </r>
  <r>
    <x v="254"/>
    <n v="53"/>
    <n v="24"/>
    <n v="1"/>
    <x v="2"/>
    <x v="7"/>
    <x v="4"/>
  </r>
  <r>
    <x v="207"/>
    <n v="233"/>
    <n v="-10"/>
    <n v="5"/>
    <x v="0"/>
    <x v="0"/>
    <x v="0"/>
  </r>
  <r>
    <x v="202"/>
    <n v="53"/>
    <n v="-2"/>
    <n v="3"/>
    <x v="2"/>
    <x v="6"/>
    <x v="4"/>
  </r>
  <r>
    <x v="175"/>
    <n v="54"/>
    <n v="8"/>
    <n v="4"/>
    <x v="2"/>
    <x v="14"/>
    <x v="4"/>
  </r>
  <r>
    <x v="255"/>
    <n v="352"/>
    <n v="-345"/>
    <n v="5"/>
    <x v="2"/>
    <x v="6"/>
    <x v="2"/>
  </r>
  <r>
    <x v="114"/>
    <n v="349"/>
    <n v="0"/>
    <n v="7"/>
    <x v="2"/>
    <x v="11"/>
    <x v="2"/>
  </r>
  <r>
    <x v="256"/>
    <n v="341"/>
    <n v="-85"/>
    <n v="6"/>
    <x v="2"/>
    <x v="5"/>
    <x v="2"/>
  </r>
  <r>
    <x v="232"/>
    <n v="54"/>
    <n v="12"/>
    <n v="3"/>
    <x v="2"/>
    <x v="6"/>
    <x v="4"/>
  </r>
  <r>
    <x v="1"/>
    <n v="57"/>
    <n v="7"/>
    <n v="2"/>
    <x v="2"/>
    <x v="16"/>
    <x v="3"/>
  </r>
  <r>
    <x v="55"/>
    <n v="340"/>
    <n v="20"/>
    <n v="7"/>
    <x v="2"/>
    <x v="16"/>
    <x v="2"/>
  </r>
  <r>
    <x v="1"/>
    <n v="227"/>
    <n v="48"/>
    <n v="5"/>
    <x v="2"/>
    <x v="11"/>
    <x v="0"/>
  </r>
  <r>
    <x v="223"/>
    <n v="330"/>
    <n v="81"/>
    <n v="1"/>
    <x v="1"/>
    <x v="2"/>
    <x v="2"/>
  </r>
  <r>
    <x v="36"/>
    <n v="216"/>
    <n v="-38"/>
    <n v="6"/>
    <x v="1"/>
    <x v="15"/>
    <x v="3"/>
  </r>
  <r>
    <x v="257"/>
    <n v="224"/>
    <n v="-143"/>
    <n v="3"/>
    <x v="1"/>
    <x v="1"/>
    <x v="0"/>
  </r>
  <r>
    <x v="258"/>
    <n v="55"/>
    <n v="-33"/>
    <n v="2"/>
    <x v="1"/>
    <x v="1"/>
    <x v="4"/>
  </r>
  <r>
    <x v="121"/>
    <n v="49"/>
    <n v="21"/>
    <n v="1"/>
    <x v="2"/>
    <x v="11"/>
    <x v="3"/>
  </r>
  <r>
    <x v="175"/>
    <n v="224"/>
    <n v="87"/>
    <n v="3"/>
    <x v="2"/>
    <x v="5"/>
    <x v="0"/>
  </r>
  <r>
    <x v="155"/>
    <n v="223"/>
    <n v="27"/>
    <n v="2"/>
    <x v="1"/>
    <x v="2"/>
    <x v="0"/>
  </r>
  <r>
    <x v="259"/>
    <n v="324"/>
    <n v="39"/>
    <n v="8"/>
    <x v="0"/>
    <x v="13"/>
    <x v="2"/>
  </r>
  <r>
    <x v="93"/>
    <n v="56"/>
    <n v="18"/>
    <n v="2"/>
    <x v="2"/>
    <x v="7"/>
    <x v="4"/>
  </r>
  <r>
    <x v="260"/>
    <n v="223"/>
    <n v="62"/>
    <n v="7"/>
    <x v="2"/>
    <x v="16"/>
    <x v="0"/>
  </r>
  <r>
    <x v="237"/>
    <n v="10"/>
    <n v="2"/>
    <n v="2"/>
    <x v="2"/>
    <x v="9"/>
    <x v="0"/>
  </r>
  <r>
    <x v="261"/>
    <n v="57"/>
    <n v="6"/>
    <n v="5"/>
    <x v="2"/>
    <x v="12"/>
    <x v="4"/>
  </r>
  <r>
    <x v="73"/>
    <n v="322"/>
    <n v="-113"/>
    <n v="4"/>
    <x v="2"/>
    <x v="6"/>
    <x v="2"/>
  </r>
  <r>
    <x v="262"/>
    <n v="219"/>
    <n v="4"/>
    <n v="2"/>
    <x v="2"/>
    <x v="6"/>
    <x v="0"/>
  </r>
  <r>
    <x v="263"/>
    <n v="103"/>
    <n v="21"/>
    <n v="7"/>
    <x v="2"/>
    <x v="11"/>
    <x v="3"/>
  </r>
  <r>
    <x v="10"/>
    <n v="47"/>
    <n v="-27"/>
    <n v="4"/>
    <x v="2"/>
    <x v="6"/>
    <x v="0"/>
  </r>
  <r>
    <x v="155"/>
    <n v="219"/>
    <n v="0"/>
    <n v="1"/>
    <x v="2"/>
    <x v="6"/>
    <x v="0"/>
  </r>
  <r>
    <x v="208"/>
    <n v="57"/>
    <n v="-48"/>
    <n v="6"/>
    <x v="2"/>
    <x v="12"/>
    <x v="4"/>
  </r>
  <r>
    <x v="264"/>
    <n v="319"/>
    <n v="102"/>
    <n v="6"/>
    <x v="0"/>
    <x v="13"/>
    <x v="2"/>
  </r>
  <r>
    <x v="34"/>
    <n v="315"/>
    <n v="-8"/>
    <n v="3"/>
    <x v="1"/>
    <x v="1"/>
    <x v="2"/>
  </r>
  <r>
    <x v="184"/>
    <n v="314"/>
    <n v="-41"/>
    <n v="3"/>
    <x v="0"/>
    <x v="0"/>
    <x v="2"/>
  </r>
  <r>
    <x v="162"/>
    <n v="311"/>
    <n v="40"/>
    <n v="1"/>
    <x v="0"/>
    <x v="0"/>
    <x v="1"/>
  </r>
  <r>
    <x v="51"/>
    <n v="307"/>
    <n v="74"/>
    <n v="3"/>
    <x v="0"/>
    <x v="13"/>
    <x v="1"/>
  </r>
  <r>
    <x v="155"/>
    <n v="294"/>
    <n v="109"/>
    <n v="7"/>
    <x v="0"/>
    <x v="13"/>
    <x v="1"/>
  </r>
  <r>
    <x v="239"/>
    <n v="216"/>
    <n v="-83"/>
    <n v="3"/>
    <x v="0"/>
    <x v="0"/>
    <x v="0"/>
  </r>
  <r>
    <x v="258"/>
    <n v="58"/>
    <n v="-42"/>
    <n v="2"/>
    <x v="1"/>
    <x v="1"/>
    <x v="4"/>
  </r>
  <r>
    <x v="45"/>
    <n v="48"/>
    <n v="20"/>
    <n v="4"/>
    <x v="2"/>
    <x v="11"/>
    <x v="3"/>
  </r>
  <r>
    <x v="2"/>
    <n v="54"/>
    <n v="14"/>
    <n v="3"/>
    <x v="2"/>
    <x v="14"/>
    <x v="3"/>
  </r>
  <r>
    <x v="58"/>
    <n v="216"/>
    <n v="50"/>
    <n v="4"/>
    <x v="2"/>
    <x v="11"/>
    <x v="0"/>
  </r>
  <r>
    <x v="260"/>
    <n v="215"/>
    <n v="-30"/>
    <n v="2"/>
    <x v="2"/>
    <x v="6"/>
    <x v="0"/>
  </r>
  <r>
    <x v="265"/>
    <n v="43"/>
    <n v="8"/>
    <n v="3"/>
    <x v="2"/>
    <x v="12"/>
    <x v="0"/>
  </r>
  <r>
    <x v="21"/>
    <n v="136"/>
    <n v="-33"/>
    <n v="5"/>
    <x v="2"/>
    <x v="6"/>
    <x v="0"/>
  </r>
  <r>
    <x v="266"/>
    <n v="59"/>
    <n v="-30"/>
    <n v="3"/>
    <x v="2"/>
    <x v="12"/>
    <x v="4"/>
  </r>
  <r>
    <x v="1"/>
    <n v="213"/>
    <n v="4"/>
    <n v="14"/>
    <x v="2"/>
    <x v="16"/>
    <x v="0"/>
  </r>
  <r>
    <x v="253"/>
    <n v="59"/>
    <n v="21"/>
    <n v="2"/>
    <x v="2"/>
    <x v="11"/>
    <x v="4"/>
  </r>
  <r>
    <x v="267"/>
    <n v="55"/>
    <n v="3"/>
    <n v="3"/>
    <x v="2"/>
    <x v="14"/>
    <x v="0"/>
  </r>
  <r>
    <x v="2"/>
    <n v="294"/>
    <n v="62"/>
    <n v="9"/>
    <x v="2"/>
    <x v="14"/>
    <x v="1"/>
  </r>
  <r>
    <x v="59"/>
    <n v="210"/>
    <n v="62"/>
    <n v="2"/>
    <x v="0"/>
    <x v="4"/>
    <x v="0"/>
  </r>
  <r>
    <x v="206"/>
    <n v="59"/>
    <n v="24"/>
    <n v="6"/>
    <x v="2"/>
    <x v="8"/>
    <x v="4"/>
  </r>
  <r>
    <x v="15"/>
    <n v="396"/>
    <n v="-31"/>
    <n v="9"/>
    <x v="2"/>
    <x v="6"/>
    <x v="0"/>
  </r>
  <r>
    <x v="268"/>
    <n v="284"/>
    <n v="45"/>
    <n v="2"/>
    <x v="1"/>
    <x v="2"/>
    <x v="1"/>
  </r>
  <r>
    <x v="269"/>
    <n v="276"/>
    <n v="52"/>
    <n v="5"/>
    <x v="2"/>
    <x v="6"/>
    <x v="1"/>
  </r>
  <r>
    <x v="227"/>
    <n v="23"/>
    <n v="2"/>
    <n v="2"/>
    <x v="2"/>
    <x v="9"/>
    <x v="3"/>
  </r>
  <r>
    <x v="270"/>
    <n v="209"/>
    <n v="-63"/>
    <n v="4"/>
    <x v="0"/>
    <x v="0"/>
    <x v="0"/>
  </r>
  <r>
    <x v="271"/>
    <n v="50"/>
    <n v="-28"/>
    <n v="5"/>
    <x v="1"/>
    <x v="15"/>
    <x v="0"/>
  </r>
  <r>
    <x v="272"/>
    <n v="57"/>
    <n v="27"/>
    <n v="2"/>
    <x v="2"/>
    <x v="16"/>
    <x v="0"/>
  </r>
  <r>
    <x v="273"/>
    <n v="276"/>
    <n v="-21"/>
    <n v="2"/>
    <x v="0"/>
    <x v="4"/>
    <x v="1"/>
  </r>
  <r>
    <x v="274"/>
    <n v="268"/>
    <n v="6"/>
    <n v="2"/>
    <x v="1"/>
    <x v="2"/>
    <x v="3"/>
  </r>
  <r>
    <x v="104"/>
    <n v="269"/>
    <n v="111"/>
    <n v="3"/>
    <x v="2"/>
    <x v="5"/>
    <x v="1"/>
  </r>
  <r>
    <x v="75"/>
    <n v="209"/>
    <n v="2"/>
    <n v="1"/>
    <x v="2"/>
    <x v="6"/>
    <x v="0"/>
  </r>
  <r>
    <x v="275"/>
    <n v="60"/>
    <n v="-12"/>
    <n v="4"/>
    <x v="2"/>
    <x v="7"/>
    <x v="4"/>
  </r>
  <r>
    <x v="173"/>
    <n v="269"/>
    <n v="-86"/>
    <n v="2"/>
    <x v="0"/>
    <x v="0"/>
    <x v="1"/>
  </r>
  <r>
    <x v="110"/>
    <n v="208"/>
    <n v="-25"/>
    <n v="2"/>
    <x v="2"/>
    <x v="6"/>
    <x v="0"/>
  </r>
  <r>
    <x v="167"/>
    <n v="27"/>
    <n v="2"/>
    <n v="2"/>
    <x v="2"/>
    <x v="12"/>
    <x v="3"/>
  </r>
  <r>
    <x v="276"/>
    <n v="206"/>
    <n v="-206"/>
    <n v="3"/>
    <x v="2"/>
    <x v="6"/>
    <x v="0"/>
  </r>
  <r>
    <x v="277"/>
    <n v="61"/>
    <n v="8"/>
    <n v="4"/>
    <x v="2"/>
    <x v="7"/>
    <x v="4"/>
  </r>
  <r>
    <x v="110"/>
    <n v="212"/>
    <n v="-24"/>
    <n v="2"/>
    <x v="1"/>
    <x v="1"/>
    <x v="0"/>
  </r>
  <r>
    <x v="218"/>
    <n v="262"/>
    <n v="64"/>
    <n v="6"/>
    <x v="2"/>
    <x v="6"/>
    <x v="1"/>
  </r>
  <r>
    <x v="13"/>
    <n v="204"/>
    <n v="276"/>
    <n v="3"/>
    <x v="1"/>
    <x v="2"/>
    <x v="0"/>
  </r>
  <r>
    <x v="67"/>
    <n v="59"/>
    <n v="-46"/>
    <n v="7"/>
    <x v="2"/>
    <x v="14"/>
    <x v="3"/>
  </r>
  <r>
    <x v="110"/>
    <n v="199"/>
    <n v="-18"/>
    <n v="2"/>
    <x v="2"/>
    <x v="6"/>
    <x v="0"/>
  </r>
  <r>
    <x v="278"/>
    <n v="59"/>
    <n v="6"/>
    <n v="1"/>
    <x v="0"/>
    <x v="13"/>
    <x v="3"/>
  </r>
  <r>
    <x v="211"/>
    <n v="45"/>
    <n v="9"/>
    <n v="3"/>
    <x v="2"/>
    <x v="12"/>
    <x v="3"/>
  </r>
  <r>
    <x v="74"/>
    <n v="211"/>
    <n v="19"/>
    <n v="8"/>
    <x v="2"/>
    <x v="11"/>
    <x v="0"/>
  </r>
  <r>
    <x v="150"/>
    <n v="65"/>
    <n v="-16"/>
    <n v="2"/>
    <x v="0"/>
    <x v="4"/>
    <x v="4"/>
  </r>
  <r>
    <x v="36"/>
    <n v="25"/>
    <n v="0"/>
    <n v="4"/>
    <x v="2"/>
    <x v="9"/>
    <x v="3"/>
  </r>
  <r>
    <x v="279"/>
    <n v="196"/>
    <n v="-7"/>
    <n v="5"/>
    <x v="0"/>
    <x v="4"/>
    <x v="0"/>
  </r>
  <r>
    <x v="21"/>
    <n v="261"/>
    <n v="13"/>
    <n v="6"/>
    <x v="2"/>
    <x v="16"/>
    <x v="2"/>
  </r>
  <r>
    <x v="87"/>
    <n v="195"/>
    <n v="-117"/>
    <n v="5"/>
    <x v="0"/>
    <x v="4"/>
    <x v="0"/>
  </r>
  <r>
    <x v="134"/>
    <n v="192"/>
    <n v="-146"/>
    <n v="3"/>
    <x v="2"/>
    <x v="6"/>
    <x v="0"/>
  </r>
  <r>
    <x v="280"/>
    <n v="189"/>
    <n v="87"/>
    <n v="7"/>
    <x v="2"/>
    <x v="11"/>
    <x v="0"/>
  </r>
  <r>
    <x v="125"/>
    <n v="32"/>
    <n v="2"/>
    <n v="2"/>
    <x v="2"/>
    <x v="8"/>
    <x v="3"/>
  </r>
  <r>
    <x v="42"/>
    <n v="188"/>
    <n v="13"/>
    <n v="7"/>
    <x v="2"/>
    <x v="16"/>
    <x v="0"/>
  </r>
  <r>
    <x v="281"/>
    <n v="73"/>
    <n v="-25"/>
    <n v="3"/>
    <x v="2"/>
    <x v="6"/>
    <x v="0"/>
  </r>
  <r>
    <x v="20"/>
    <n v="259"/>
    <n v="47"/>
    <n v="5"/>
    <x v="2"/>
    <x v="7"/>
    <x v="2"/>
  </r>
  <r>
    <x v="282"/>
    <n v="187"/>
    <n v="-15"/>
    <n v="3"/>
    <x v="2"/>
    <x v="5"/>
    <x v="0"/>
  </r>
  <r>
    <x v="18"/>
    <n v="26"/>
    <n v="11"/>
    <n v="2"/>
    <x v="2"/>
    <x v="7"/>
    <x v="3"/>
  </r>
  <r>
    <x v="35"/>
    <n v="185"/>
    <n v="-26"/>
    <n v="6"/>
    <x v="1"/>
    <x v="1"/>
    <x v="0"/>
  </r>
  <r>
    <x v="283"/>
    <n v="248"/>
    <n v="8"/>
    <n v="2"/>
    <x v="2"/>
    <x v="6"/>
    <x v="2"/>
  </r>
  <r>
    <x v="284"/>
    <n v="67"/>
    <n v="9"/>
    <n v="4"/>
    <x v="2"/>
    <x v="12"/>
    <x v="4"/>
  </r>
  <r>
    <x v="257"/>
    <n v="248"/>
    <n v="-70"/>
    <n v="3"/>
    <x v="1"/>
    <x v="1"/>
    <x v="2"/>
  </r>
  <r>
    <x v="218"/>
    <n v="246"/>
    <n v="61"/>
    <n v="2"/>
    <x v="1"/>
    <x v="2"/>
    <x v="2"/>
  </r>
  <r>
    <x v="285"/>
    <n v="179"/>
    <n v="-25"/>
    <n v="5"/>
    <x v="2"/>
    <x v="8"/>
    <x v="0"/>
  </r>
  <r>
    <x v="286"/>
    <n v="176"/>
    <n v="-28"/>
    <n v="5"/>
    <x v="1"/>
    <x v="15"/>
    <x v="0"/>
  </r>
  <r>
    <x v="267"/>
    <n v="176"/>
    <n v="-13"/>
    <n v="5"/>
    <x v="1"/>
    <x v="15"/>
    <x v="0"/>
  </r>
  <r>
    <x v="50"/>
    <n v="68"/>
    <n v="-62"/>
    <n v="2"/>
    <x v="2"/>
    <x v="5"/>
    <x v="4"/>
  </r>
  <r>
    <x v="287"/>
    <n v="176"/>
    <n v="37"/>
    <n v="6"/>
    <x v="0"/>
    <x v="13"/>
    <x v="0"/>
  </r>
  <r>
    <x v="216"/>
    <n v="88"/>
    <n v="11"/>
    <n v="7"/>
    <x v="2"/>
    <x v="7"/>
    <x v="3"/>
  </r>
  <r>
    <x v="288"/>
    <n v="68"/>
    <n v="20"/>
    <n v="5"/>
    <x v="2"/>
    <x v="7"/>
    <x v="4"/>
  </r>
  <r>
    <x v="289"/>
    <n v="231"/>
    <n v="99"/>
    <n v="2"/>
    <x v="0"/>
    <x v="0"/>
    <x v="2"/>
  </r>
  <r>
    <x v="232"/>
    <n v="62"/>
    <n v="8"/>
    <n v="2"/>
    <x v="2"/>
    <x v="14"/>
    <x v="3"/>
  </r>
  <r>
    <x v="190"/>
    <n v="175"/>
    <n v="77"/>
    <n v="3"/>
    <x v="2"/>
    <x v="6"/>
    <x v="0"/>
  </r>
  <r>
    <x v="100"/>
    <n v="71"/>
    <n v="4"/>
    <n v="5"/>
    <x v="2"/>
    <x v="12"/>
    <x v="4"/>
  </r>
  <r>
    <x v="276"/>
    <n v="174"/>
    <n v="-70"/>
    <n v="3"/>
    <x v="0"/>
    <x v="13"/>
    <x v="0"/>
  </r>
  <r>
    <x v="102"/>
    <n v="173"/>
    <n v="69"/>
    <n v="3"/>
    <x v="1"/>
    <x v="1"/>
    <x v="0"/>
  </r>
  <r>
    <x v="85"/>
    <n v="171"/>
    <n v="2"/>
    <n v="2"/>
    <x v="0"/>
    <x v="0"/>
    <x v="0"/>
  </r>
  <r>
    <x v="134"/>
    <n v="268"/>
    <n v="-25"/>
    <n v="3"/>
    <x v="2"/>
    <x v="6"/>
    <x v="0"/>
  </r>
  <r>
    <x v="290"/>
    <n v="71"/>
    <n v="32"/>
    <n v="3"/>
    <x v="2"/>
    <x v="6"/>
    <x v="4"/>
  </r>
  <r>
    <x v="291"/>
    <n v="29"/>
    <n v="10"/>
    <n v="4"/>
    <x v="2"/>
    <x v="7"/>
    <x v="3"/>
  </r>
  <r>
    <x v="292"/>
    <n v="65"/>
    <n v="17"/>
    <n v="2"/>
    <x v="2"/>
    <x v="14"/>
    <x v="3"/>
  </r>
  <r>
    <x v="29"/>
    <n v="72"/>
    <n v="-46"/>
    <n v="7"/>
    <x v="2"/>
    <x v="8"/>
    <x v="4"/>
  </r>
  <r>
    <x v="293"/>
    <n v="168"/>
    <n v="-51"/>
    <n v="2"/>
    <x v="1"/>
    <x v="2"/>
    <x v="0"/>
  </r>
  <r>
    <x v="74"/>
    <n v="165"/>
    <n v="30"/>
    <n v="3"/>
    <x v="2"/>
    <x v="11"/>
    <x v="0"/>
  </r>
  <r>
    <x v="252"/>
    <n v="74"/>
    <n v="-59"/>
    <n v="2"/>
    <x v="0"/>
    <x v="13"/>
    <x v="4"/>
  </r>
  <r>
    <x v="152"/>
    <n v="89"/>
    <n v="17"/>
    <n v="2"/>
    <x v="2"/>
    <x v="11"/>
    <x v="3"/>
  </r>
  <r>
    <x v="207"/>
    <n v="228"/>
    <n v="63"/>
    <n v="3"/>
    <x v="0"/>
    <x v="0"/>
    <x v="2"/>
  </r>
  <r>
    <x v="64"/>
    <n v="119"/>
    <n v="-24"/>
    <n v="4"/>
    <x v="1"/>
    <x v="15"/>
    <x v="0"/>
  </r>
  <r>
    <x v="118"/>
    <n v="75"/>
    <n v="-25"/>
    <n v="3"/>
    <x v="2"/>
    <x v="11"/>
    <x v="3"/>
  </r>
  <r>
    <x v="101"/>
    <n v="67"/>
    <n v="20"/>
    <n v="4"/>
    <x v="2"/>
    <x v="14"/>
    <x v="3"/>
  </r>
  <r>
    <x v="89"/>
    <n v="7"/>
    <n v="0"/>
    <n v="1"/>
    <x v="2"/>
    <x v="12"/>
    <x v="0"/>
  </r>
  <r>
    <x v="148"/>
    <n v="222"/>
    <n v="35"/>
    <n v="5"/>
    <x v="2"/>
    <x v="6"/>
    <x v="2"/>
  </r>
  <r>
    <x v="204"/>
    <n v="219"/>
    <n v="-9"/>
    <n v="4"/>
    <x v="2"/>
    <x v="6"/>
    <x v="2"/>
  </r>
  <r>
    <x v="10"/>
    <n v="42"/>
    <n v="-23"/>
    <n v="2"/>
    <x v="1"/>
    <x v="15"/>
    <x v="3"/>
  </r>
  <r>
    <x v="66"/>
    <n v="216"/>
    <n v="-135"/>
    <n v="3"/>
    <x v="1"/>
    <x v="1"/>
    <x v="2"/>
  </r>
  <r>
    <x v="294"/>
    <n v="47"/>
    <n v="-21"/>
    <n v="2"/>
    <x v="0"/>
    <x v="0"/>
    <x v="0"/>
  </r>
  <r>
    <x v="233"/>
    <n v="68"/>
    <n v="-55"/>
    <n v="5"/>
    <x v="0"/>
    <x v="13"/>
    <x v="3"/>
  </r>
  <r>
    <x v="103"/>
    <n v="74"/>
    <n v="33"/>
    <n v="2"/>
    <x v="2"/>
    <x v="16"/>
    <x v="4"/>
  </r>
  <r>
    <x v="109"/>
    <n v="165"/>
    <n v="46"/>
    <n v="3"/>
    <x v="1"/>
    <x v="15"/>
    <x v="0"/>
  </r>
  <r>
    <x v="179"/>
    <n v="101"/>
    <n v="11"/>
    <n v="2"/>
    <x v="2"/>
    <x v="7"/>
    <x v="3"/>
  </r>
  <r>
    <x v="295"/>
    <n v="162"/>
    <n v="73"/>
    <n v="2"/>
    <x v="0"/>
    <x v="0"/>
    <x v="0"/>
  </r>
  <r>
    <x v="247"/>
    <n v="20"/>
    <n v="-22"/>
    <n v="1"/>
    <x v="1"/>
    <x v="15"/>
    <x v="3"/>
  </r>
  <r>
    <x v="135"/>
    <n v="162"/>
    <n v="55"/>
    <n v="3"/>
    <x v="2"/>
    <x v="11"/>
    <x v="0"/>
  </r>
  <r>
    <x v="173"/>
    <n v="229"/>
    <n v="-23"/>
    <n v="2"/>
    <x v="2"/>
    <x v="6"/>
    <x v="3"/>
  </r>
  <r>
    <x v="296"/>
    <n v="27"/>
    <n v="0"/>
    <n v="2"/>
    <x v="2"/>
    <x v="12"/>
    <x v="0"/>
  </r>
  <r>
    <x v="20"/>
    <n v="685"/>
    <n v="7"/>
    <n v="7"/>
    <x v="2"/>
    <x v="5"/>
    <x v="3"/>
  </r>
  <r>
    <x v="196"/>
    <n v="75"/>
    <n v="2"/>
    <n v="5"/>
    <x v="2"/>
    <x v="12"/>
    <x v="4"/>
  </r>
  <r>
    <x v="191"/>
    <n v="161"/>
    <n v="-229"/>
    <n v="8"/>
    <x v="1"/>
    <x v="15"/>
    <x v="0"/>
  </r>
  <r>
    <x v="269"/>
    <n v="71"/>
    <n v="19"/>
    <n v="3"/>
    <x v="2"/>
    <x v="14"/>
    <x v="0"/>
  </r>
  <r>
    <x v="104"/>
    <n v="211"/>
    <n v="-105"/>
    <n v="2"/>
    <x v="2"/>
    <x v="6"/>
    <x v="2"/>
  </r>
  <r>
    <x v="297"/>
    <n v="79"/>
    <n v="5"/>
    <n v="6"/>
    <x v="2"/>
    <x v="7"/>
    <x v="4"/>
  </r>
  <r>
    <x v="111"/>
    <n v="32"/>
    <n v="-22"/>
    <n v="5"/>
    <x v="2"/>
    <x v="6"/>
    <x v="3"/>
  </r>
  <r>
    <x v="298"/>
    <n v="161"/>
    <n v="40"/>
    <n v="3"/>
    <x v="2"/>
    <x v="11"/>
    <x v="0"/>
  </r>
  <r>
    <x v="89"/>
    <n v="159"/>
    <n v="4"/>
    <n v="1"/>
    <x v="2"/>
    <x v="6"/>
    <x v="0"/>
  </r>
  <r>
    <x v="113"/>
    <n v="210"/>
    <n v="-50"/>
    <n v="4"/>
    <x v="2"/>
    <x v="7"/>
    <x v="2"/>
  </r>
  <r>
    <x v="193"/>
    <n v="79"/>
    <n v="39"/>
    <n v="2"/>
    <x v="2"/>
    <x v="16"/>
    <x v="4"/>
  </r>
  <r>
    <x v="150"/>
    <n v="207"/>
    <n v="153"/>
    <n v="3"/>
    <x v="2"/>
    <x v="6"/>
    <x v="2"/>
  </r>
  <r>
    <x v="166"/>
    <n v="36"/>
    <n v="0"/>
    <n v="4"/>
    <x v="2"/>
    <x v="8"/>
    <x v="0"/>
  </r>
  <r>
    <x v="76"/>
    <n v="206"/>
    <n v="12"/>
    <n v="1"/>
    <x v="0"/>
    <x v="3"/>
    <x v="2"/>
  </r>
  <r>
    <x v="109"/>
    <n v="46"/>
    <n v="0"/>
    <n v="4"/>
    <x v="2"/>
    <x v="12"/>
    <x v="0"/>
  </r>
  <r>
    <x v="241"/>
    <n v="156"/>
    <n v="23"/>
    <n v="3"/>
    <x v="2"/>
    <x v="11"/>
    <x v="0"/>
  </r>
  <r>
    <x v="254"/>
    <n v="154"/>
    <n v="54"/>
    <n v="3"/>
    <x v="2"/>
    <x v="7"/>
    <x v="0"/>
  </r>
  <r>
    <x v="299"/>
    <n v="36"/>
    <n v="15"/>
    <n v="3"/>
    <x v="2"/>
    <x v="11"/>
    <x v="3"/>
  </r>
  <r>
    <x v="300"/>
    <n v="206"/>
    <n v="51"/>
    <n v="4"/>
    <x v="2"/>
    <x v="7"/>
    <x v="2"/>
  </r>
  <r>
    <x v="301"/>
    <n v="200"/>
    <n v="7"/>
    <n v="4"/>
    <x v="0"/>
    <x v="0"/>
    <x v="2"/>
  </r>
  <r>
    <x v="300"/>
    <n v="199"/>
    <n v="-1"/>
    <n v="1"/>
    <x v="2"/>
    <x v="6"/>
    <x v="2"/>
  </r>
  <r>
    <x v="256"/>
    <n v="154"/>
    <n v="22"/>
    <n v="7"/>
    <x v="2"/>
    <x v="14"/>
    <x v="0"/>
  </r>
  <r>
    <x v="302"/>
    <n v="152"/>
    <n v="23"/>
    <n v="3"/>
    <x v="1"/>
    <x v="15"/>
    <x v="0"/>
  </r>
  <r>
    <x v="303"/>
    <n v="152"/>
    <n v="50"/>
    <n v="6"/>
    <x v="2"/>
    <x v="11"/>
    <x v="0"/>
  </r>
  <r>
    <x v="173"/>
    <n v="122"/>
    <n v="-21"/>
    <n v="3"/>
    <x v="1"/>
    <x v="15"/>
    <x v="3"/>
  </r>
  <r>
    <x v="202"/>
    <n v="149"/>
    <n v="48"/>
    <n v="6"/>
    <x v="2"/>
    <x v="11"/>
    <x v="0"/>
  </r>
  <r>
    <x v="304"/>
    <n v="149"/>
    <n v="-87"/>
    <n v="4"/>
    <x v="2"/>
    <x v="6"/>
    <x v="0"/>
  </r>
  <r>
    <x v="249"/>
    <n v="197"/>
    <n v="20"/>
    <n v="4"/>
    <x v="2"/>
    <x v="8"/>
    <x v="2"/>
  </r>
  <r>
    <x v="39"/>
    <n v="76"/>
    <n v="-54"/>
    <n v="3"/>
    <x v="0"/>
    <x v="0"/>
    <x v="0"/>
  </r>
  <r>
    <x v="230"/>
    <n v="221"/>
    <n v="-15"/>
    <n v="2"/>
    <x v="0"/>
    <x v="0"/>
    <x v="0"/>
  </r>
  <r>
    <x v="198"/>
    <n v="79"/>
    <n v="32"/>
    <n v="3"/>
    <x v="2"/>
    <x v="6"/>
    <x v="4"/>
  </r>
  <r>
    <x v="305"/>
    <n v="45"/>
    <n v="12"/>
    <n v="7"/>
    <x v="2"/>
    <x v="7"/>
    <x v="3"/>
  </r>
  <r>
    <x v="189"/>
    <n v="149"/>
    <n v="-1"/>
    <n v="1"/>
    <x v="2"/>
    <x v="6"/>
    <x v="0"/>
  </r>
  <r>
    <x v="269"/>
    <n v="80"/>
    <n v="22"/>
    <n v="3"/>
    <x v="2"/>
    <x v="11"/>
    <x v="4"/>
  </r>
  <r>
    <x v="224"/>
    <n v="195"/>
    <n v="12"/>
    <n v="9"/>
    <x v="2"/>
    <x v="16"/>
    <x v="2"/>
  </r>
  <r>
    <x v="29"/>
    <n v="19"/>
    <n v="0"/>
    <n v="3"/>
    <x v="2"/>
    <x v="9"/>
    <x v="3"/>
  </r>
  <r>
    <x v="101"/>
    <n v="81"/>
    <n v="41"/>
    <n v="3"/>
    <x v="2"/>
    <x v="11"/>
    <x v="4"/>
  </r>
  <r>
    <x v="306"/>
    <n v="83"/>
    <n v="34"/>
    <n v="5"/>
    <x v="2"/>
    <x v="16"/>
    <x v="4"/>
  </r>
  <r>
    <x v="24"/>
    <n v="149"/>
    <n v="17"/>
    <n v="4"/>
    <x v="1"/>
    <x v="15"/>
    <x v="0"/>
  </r>
  <r>
    <x v="307"/>
    <n v="193"/>
    <n v="46"/>
    <n v="1"/>
    <x v="0"/>
    <x v="3"/>
    <x v="2"/>
  </r>
  <r>
    <x v="58"/>
    <n v="85"/>
    <n v="24"/>
    <n v="10"/>
    <x v="2"/>
    <x v="7"/>
    <x v="4"/>
  </r>
  <r>
    <x v="189"/>
    <n v="44"/>
    <n v="-17"/>
    <n v="5"/>
    <x v="2"/>
    <x v="6"/>
    <x v="3"/>
  </r>
  <r>
    <x v="308"/>
    <n v="149"/>
    <n v="-40"/>
    <n v="2"/>
    <x v="0"/>
    <x v="4"/>
    <x v="0"/>
  </r>
  <r>
    <x v="309"/>
    <n v="26"/>
    <n v="0"/>
    <n v="2"/>
    <x v="2"/>
    <x v="8"/>
    <x v="0"/>
  </r>
  <r>
    <x v="226"/>
    <n v="86"/>
    <n v="0"/>
    <n v="4"/>
    <x v="2"/>
    <x v="14"/>
    <x v="4"/>
  </r>
  <r>
    <x v="310"/>
    <n v="86"/>
    <n v="22"/>
    <n v="2"/>
    <x v="2"/>
    <x v="6"/>
    <x v="4"/>
  </r>
  <r>
    <x v="34"/>
    <n v="79"/>
    <n v="16"/>
    <n v="3"/>
    <x v="2"/>
    <x v="14"/>
    <x v="0"/>
  </r>
  <r>
    <x v="311"/>
    <n v="193"/>
    <n v="-275"/>
    <n v="3"/>
    <x v="0"/>
    <x v="4"/>
    <x v="2"/>
  </r>
  <r>
    <x v="131"/>
    <n v="148"/>
    <n v="0"/>
    <n v="3"/>
    <x v="2"/>
    <x v="6"/>
    <x v="0"/>
  </r>
  <r>
    <x v="312"/>
    <n v="70"/>
    <n v="-14"/>
    <n v="2"/>
    <x v="1"/>
    <x v="15"/>
    <x v="3"/>
  </r>
  <r>
    <x v="313"/>
    <n v="148"/>
    <n v="59"/>
    <n v="3"/>
    <x v="2"/>
    <x v="7"/>
    <x v="0"/>
  </r>
  <r>
    <x v="21"/>
    <n v="190"/>
    <n v="19"/>
    <n v="9"/>
    <x v="1"/>
    <x v="15"/>
    <x v="2"/>
  </r>
  <r>
    <x v="228"/>
    <n v="52"/>
    <n v="14"/>
    <n v="2"/>
    <x v="2"/>
    <x v="11"/>
    <x v="0"/>
  </r>
  <r>
    <x v="295"/>
    <n v="147"/>
    <n v="44"/>
    <n v="3"/>
    <x v="2"/>
    <x v="6"/>
    <x v="0"/>
  </r>
  <r>
    <x v="159"/>
    <n v="190"/>
    <n v="68"/>
    <n v="8"/>
    <x v="2"/>
    <x v="14"/>
    <x v="2"/>
  </r>
  <r>
    <x v="314"/>
    <n v="80"/>
    <n v="-56"/>
    <n v="4"/>
    <x v="0"/>
    <x v="0"/>
    <x v="3"/>
  </r>
  <r>
    <x v="102"/>
    <n v="147"/>
    <n v="48"/>
    <n v="3"/>
    <x v="2"/>
    <x v="6"/>
    <x v="0"/>
  </r>
  <r>
    <x v="154"/>
    <n v="66"/>
    <n v="12"/>
    <n v="3"/>
    <x v="2"/>
    <x v="11"/>
    <x v="0"/>
  </r>
  <r>
    <x v="315"/>
    <n v="86"/>
    <n v="8"/>
    <n v="2"/>
    <x v="2"/>
    <x v="6"/>
    <x v="4"/>
  </r>
  <r>
    <x v="241"/>
    <n v="88"/>
    <n v="19"/>
    <n v="2"/>
    <x v="2"/>
    <x v="16"/>
    <x v="4"/>
  </r>
  <r>
    <x v="101"/>
    <n v="188"/>
    <n v="-193"/>
    <n v="2"/>
    <x v="0"/>
    <x v="0"/>
    <x v="2"/>
  </r>
  <r>
    <x v="147"/>
    <n v="89"/>
    <n v="29"/>
    <n v="2"/>
    <x v="2"/>
    <x v="11"/>
    <x v="3"/>
  </r>
  <r>
    <x v="316"/>
    <n v="146"/>
    <n v="19"/>
    <n v="5"/>
    <x v="2"/>
    <x v="11"/>
    <x v="0"/>
  </r>
  <r>
    <x v="94"/>
    <n v="143"/>
    <n v="32"/>
    <n v="1"/>
    <x v="1"/>
    <x v="2"/>
    <x v="0"/>
  </r>
  <r>
    <x v="244"/>
    <n v="25"/>
    <n v="-1"/>
    <n v="4"/>
    <x v="2"/>
    <x v="8"/>
    <x v="0"/>
  </r>
  <r>
    <x v="297"/>
    <n v="30"/>
    <n v="12"/>
    <n v="3"/>
    <x v="2"/>
    <x v="9"/>
    <x v="3"/>
  </r>
  <r>
    <x v="112"/>
    <n v="140"/>
    <n v="-58"/>
    <n v="4"/>
    <x v="1"/>
    <x v="15"/>
    <x v="0"/>
  </r>
  <r>
    <x v="214"/>
    <n v="83"/>
    <n v="-48"/>
    <n v="1"/>
    <x v="1"/>
    <x v="2"/>
    <x v="3"/>
  </r>
  <r>
    <x v="317"/>
    <n v="140"/>
    <n v="6"/>
    <n v="5"/>
    <x v="2"/>
    <x v="6"/>
    <x v="0"/>
  </r>
  <r>
    <x v="166"/>
    <n v="28"/>
    <n v="14"/>
    <n v="4"/>
    <x v="2"/>
    <x v="7"/>
    <x v="0"/>
  </r>
  <r>
    <x v="318"/>
    <n v="139"/>
    <n v="14"/>
    <n v="3"/>
    <x v="2"/>
    <x v="11"/>
    <x v="0"/>
  </r>
  <r>
    <x v="18"/>
    <n v="30"/>
    <n v="14"/>
    <n v="3"/>
    <x v="2"/>
    <x v="7"/>
    <x v="3"/>
  </r>
  <r>
    <x v="222"/>
    <n v="89"/>
    <n v="36"/>
    <n v="3"/>
    <x v="2"/>
    <x v="16"/>
    <x v="3"/>
  </r>
  <r>
    <x v="91"/>
    <n v="187"/>
    <n v="30"/>
    <n v="4"/>
    <x v="0"/>
    <x v="13"/>
    <x v="2"/>
  </r>
  <r>
    <x v="241"/>
    <n v="139"/>
    <n v="21"/>
    <n v="3"/>
    <x v="0"/>
    <x v="13"/>
    <x v="0"/>
  </r>
  <r>
    <x v="257"/>
    <n v="437"/>
    <n v="-14"/>
    <n v="2"/>
    <x v="2"/>
    <x v="6"/>
    <x v="3"/>
  </r>
  <r>
    <x v="195"/>
    <n v="138"/>
    <n v="-3"/>
    <n v="5"/>
    <x v="2"/>
    <x v="6"/>
    <x v="0"/>
  </r>
  <r>
    <x v="267"/>
    <n v="85"/>
    <n v="13"/>
    <n v="2"/>
    <x v="2"/>
    <x v="16"/>
    <x v="3"/>
  </r>
  <r>
    <x v="170"/>
    <n v="83"/>
    <n v="12"/>
    <n v="3"/>
    <x v="2"/>
    <x v="11"/>
    <x v="3"/>
  </r>
  <r>
    <x v="262"/>
    <n v="91"/>
    <n v="22"/>
    <n v="2"/>
    <x v="2"/>
    <x v="11"/>
    <x v="3"/>
  </r>
  <r>
    <x v="140"/>
    <n v="137"/>
    <n v="5"/>
    <n v="5"/>
    <x v="2"/>
    <x v="16"/>
    <x v="0"/>
  </r>
  <r>
    <x v="319"/>
    <n v="33"/>
    <n v="-12"/>
    <n v="7"/>
    <x v="2"/>
    <x v="6"/>
    <x v="3"/>
  </r>
  <r>
    <x v="40"/>
    <n v="134"/>
    <n v="-34"/>
    <n v="2"/>
    <x v="1"/>
    <x v="1"/>
    <x v="0"/>
  </r>
  <r>
    <x v="320"/>
    <n v="134"/>
    <n v="42"/>
    <n v="2"/>
    <x v="1"/>
    <x v="1"/>
    <x v="0"/>
  </r>
  <r>
    <x v="321"/>
    <n v="133"/>
    <n v="-56"/>
    <n v="2"/>
    <x v="1"/>
    <x v="1"/>
    <x v="0"/>
  </r>
  <r>
    <x v="168"/>
    <n v="93"/>
    <n v="-84"/>
    <n v="3"/>
    <x v="2"/>
    <x v="6"/>
    <x v="3"/>
  </r>
  <r>
    <x v="129"/>
    <n v="86"/>
    <n v="-21"/>
    <n v="1"/>
    <x v="0"/>
    <x v="0"/>
    <x v="3"/>
  </r>
  <r>
    <x v="23"/>
    <n v="132"/>
    <n v="54"/>
    <n v="5"/>
    <x v="2"/>
    <x v="11"/>
    <x v="0"/>
  </r>
  <r>
    <x v="53"/>
    <n v="132"/>
    <n v="-10"/>
    <n v="3"/>
    <x v="2"/>
    <x v="6"/>
    <x v="0"/>
  </r>
  <r>
    <x v="220"/>
    <n v="132"/>
    <n v="-79"/>
    <n v="5"/>
    <x v="1"/>
    <x v="15"/>
    <x v="0"/>
  </r>
  <r>
    <x v="260"/>
    <n v="93"/>
    <n v="-65"/>
    <n v="4"/>
    <x v="2"/>
    <x v="11"/>
    <x v="3"/>
  </r>
  <r>
    <x v="322"/>
    <n v="95"/>
    <n v="5"/>
    <n v="2"/>
    <x v="2"/>
    <x v="11"/>
    <x v="3"/>
  </r>
  <r>
    <x v="35"/>
    <n v="97"/>
    <n v="12"/>
    <n v="2"/>
    <x v="2"/>
    <x v="7"/>
    <x v="3"/>
  </r>
  <r>
    <x v="323"/>
    <n v="131"/>
    <n v="-154"/>
    <n v="8"/>
    <x v="1"/>
    <x v="15"/>
    <x v="0"/>
  </r>
  <r>
    <x v="266"/>
    <n v="97"/>
    <n v="29"/>
    <n v="2"/>
    <x v="2"/>
    <x v="7"/>
    <x v="3"/>
  </r>
  <r>
    <x v="18"/>
    <n v="128"/>
    <n v="4"/>
    <n v="3"/>
    <x v="2"/>
    <x v="6"/>
    <x v="0"/>
  </r>
  <r>
    <x v="10"/>
    <n v="186"/>
    <n v="241"/>
    <n v="9"/>
    <x v="2"/>
    <x v="16"/>
    <x v="2"/>
  </r>
  <r>
    <x v="34"/>
    <n v="128"/>
    <n v="47"/>
    <n v="4"/>
    <x v="2"/>
    <x v="7"/>
    <x v="0"/>
  </r>
  <r>
    <x v="140"/>
    <n v="185"/>
    <n v="48"/>
    <n v="4"/>
    <x v="2"/>
    <x v="11"/>
    <x v="2"/>
  </r>
  <r>
    <x v="324"/>
    <n v="29"/>
    <n v="10"/>
    <n v="2"/>
    <x v="2"/>
    <x v="11"/>
    <x v="0"/>
  </r>
  <r>
    <x v="33"/>
    <n v="127"/>
    <n v="29"/>
    <n v="3"/>
    <x v="1"/>
    <x v="15"/>
    <x v="0"/>
  </r>
  <r>
    <x v="205"/>
    <n v="97"/>
    <n v="36"/>
    <n v="7"/>
    <x v="2"/>
    <x v="7"/>
    <x v="3"/>
  </r>
  <r>
    <x v="108"/>
    <n v="125"/>
    <n v="0"/>
    <n v="3"/>
    <x v="0"/>
    <x v="13"/>
    <x v="0"/>
  </r>
  <r>
    <x v="325"/>
    <n v="299"/>
    <n v="-8"/>
    <n v="2"/>
    <x v="2"/>
    <x v="6"/>
    <x v="0"/>
  </r>
  <r>
    <x v="326"/>
    <n v="124"/>
    <n v="54"/>
    <n v="5"/>
    <x v="2"/>
    <x v="14"/>
    <x v="0"/>
  </r>
  <r>
    <x v="195"/>
    <n v="90"/>
    <n v="17"/>
    <n v="3"/>
    <x v="2"/>
    <x v="16"/>
    <x v="0"/>
  </r>
  <r>
    <x v="221"/>
    <n v="122"/>
    <n v="11"/>
    <n v="4"/>
    <x v="2"/>
    <x v="7"/>
    <x v="0"/>
  </r>
  <r>
    <x v="305"/>
    <n v="122"/>
    <n v="-66"/>
    <n v="9"/>
    <x v="0"/>
    <x v="13"/>
    <x v="0"/>
  </r>
  <r>
    <x v="42"/>
    <n v="90"/>
    <n v="30"/>
    <n v="2"/>
    <x v="1"/>
    <x v="1"/>
    <x v="3"/>
  </r>
  <r>
    <x v="327"/>
    <n v="182"/>
    <n v="-11"/>
    <n v="3"/>
    <x v="1"/>
    <x v="2"/>
    <x v="2"/>
  </r>
  <r>
    <x v="121"/>
    <n v="122"/>
    <n v="59"/>
    <n v="7"/>
    <x v="1"/>
    <x v="15"/>
    <x v="0"/>
  </r>
  <r>
    <x v="328"/>
    <n v="121"/>
    <n v="19"/>
    <n v="4"/>
    <x v="2"/>
    <x v="11"/>
    <x v="0"/>
  </r>
  <r>
    <x v="135"/>
    <n v="120"/>
    <n v="1"/>
    <n v="1"/>
    <x v="1"/>
    <x v="1"/>
    <x v="0"/>
  </r>
  <r>
    <x v="147"/>
    <n v="120"/>
    <n v="23"/>
    <n v="5"/>
    <x v="2"/>
    <x v="11"/>
    <x v="0"/>
  </r>
  <r>
    <x v="74"/>
    <n v="34"/>
    <n v="-11"/>
    <n v="5"/>
    <x v="2"/>
    <x v="14"/>
    <x v="0"/>
  </r>
  <r>
    <x v="67"/>
    <n v="117"/>
    <n v="17"/>
    <n v="6"/>
    <x v="2"/>
    <x v="8"/>
    <x v="0"/>
  </r>
  <r>
    <x v="329"/>
    <n v="38"/>
    <n v="9"/>
    <n v="2"/>
    <x v="2"/>
    <x v="11"/>
    <x v="0"/>
  </r>
  <r>
    <x v="6"/>
    <n v="117"/>
    <n v="-6"/>
    <n v="3"/>
    <x v="0"/>
    <x v="4"/>
    <x v="0"/>
  </r>
  <r>
    <x v="185"/>
    <n v="180"/>
    <n v="54"/>
    <n v="4"/>
    <x v="2"/>
    <x v="14"/>
    <x v="2"/>
  </r>
  <r>
    <x v="192"/>
    <n v="99"/>
    <n v="-5"/>
    <n v="1"/>
    <x v="2"/>
    <x v="6"/>
    <x v="3"/>
  </r>
  <r>
    <x v="89"/>
    <n v="172"/>
    <n v="-103"/>
    <n v="3"/>
    <x v="1"/>
    <x v="1"/>
    <x v="1"/>
  </r>
  <r>
    <x v="117"/>
    <n v="116"/>
    <n v="16"/>
    <n v="4"/>
    <x v="2"/>
    <x v="11"/>
    <x v="0"/>
  </r>
  <r>
    <x v="6"/>
    <n v="116"/>
    <n v="-4"/>
    <n v="1"/>
    <x v="2"/>
    <x v="6"/>
    <x v="0"/>
  </r>
  <r>
    <x v="330"/>
    <n v="171"/>
    <n v="68"/>
    <n v="7"/>
    <x v="2"/>
    <x v="11"/>
    <x v="1"/>
  </r>
  <r>
    <x v="98"/>
    <n v="46"/>
    <n v="14"/>
    <n v="5"/>
    <x v="2"/>
    <x v="9"/>
    <x v="0"/>
  </r>
  <r>
    <x v="69"/>
    <n v="115"/>
    <n v="-39"/>
    <n v="3"/>
    <x v="2"/>
    <x v="5"/>
    <x v="0"/>
  </r>
  <r>
    <x v="331"/>
    <n v="100"/>
    <n v="7"/>
    <n v="2"/>
    <x v="2"/>
    <x v="14"/>
    <x v="3"/>
  </r>
  <r>
    <x v="132"/>
    <n v="44"/>
    <n v="8"/>
    <n v="2"/>
    <x v="2"/>
    <x v="11"/>
    <x v="0"/>
  </r>
  <r>
    <x v="206"/>
    <n v="139"/>
    <n v="14"/>
    <n v="3"/>
    <x v="2"/>
    <x v="8"/>
    <x v="0"/>
  </r>
  <r>
    <x v="332"/>
    <n v="171"/>
    <n v="-140"/>
    <n v="2"/>
    <x v="1"/>
    <x v="2"/>
    <x v="1"/>
  </r>
  <r>
    <x v="333"/>
    <n v="100"/>
    <n v="12"/>
    <n v="2"/>
    <x v="2"/>
    <x v="14"/>
    <x v="3"/>
  </r>
  <r>
    <x v="317"/>
    <n v="115"/>
    <n v="25"/>
    <n v="6"/>
    <x v="2"/>
    <x v="11"/>
    <x v="0"/>
  </r>
  <r>
    <x v="6"/>
    <n v="168"/>
    <n v="-9"/>
    <n v="3"/>
    <x v="2"/>
    <x v="6"/>
    <x v="0"/>
  </r>
  <r>
    <x v="334"/>
    <n v="115"/>
    <n v="47"/>
    <n v="2"/>
    <x v="0"/>
    <x v="13"/>
    <x v="0"/>
  </r>
  <r>
    <x v="4"/>
    <n v="168"/>
    <n v="-111"/>
    <n v="2"/>
    <x v="0"/>
    <x v="4"/>
    <x v="1"/>
  </r>
  <r>
    <x v="335"/>
    <n v="31"/>
    <n v="-7"/>
    <n v="5"/>
    <x v="2"/>
    <x v="9"/>
    <x v="3"/>
  </r>
  <r>
    <x v="34"/>
    <n v="114"/>
    <n v="41"/>
    <n v="6"/>
    <x v="1"/>
    <x v="15"/>
    <x v="0"/>
  </r>
  <r>
    <x v="105"/>
    <n v="111"/>
    <n v="9"/>
    <n v="4"/>
    <x v="2"/>
    <x v="11"/>
    <x v="0"/>
  </r>
  <r>
    <x v="336"/>
    <n v="11"/>
    <n v="-8"/>
    <n v="2"/>
    <x v="2"/>
    <x v="9"/>
    <x v="3"/>
  </r>
  <r>
    <x v="217"/>
    <n v="110"/>
    <n v="35"/>
    <n v="1"/>
    <x v="1"/>
    <x v="15"/>
    <x v="0"/>
  </r>
  <r>
    <x v="98"/>
    <n v="59"/>
    <n v="15"/>
    <n v="2"/>
    <x v="2"/>
    <x v="14"/>
    <x v="3"/>
  </r>
  <r>
    <x v="198"/>
    <n v="166"/>
    <n v="27"/>
    <n v="2"/>
    <x v="0"/>
    <x v="13"/>
    <x v="1"/>
  </r>
  <r>
    <x v="27"/>
    <n v="109"/>
    <n v="-6"/>
    <n v="6"/>
    <x v="2"/>
    <x v="6"/>
    <x v="0"/>
  </r>
  <r>
    <x v="276"/>
    <n v="34"/>
    <n v="-6"/>
    <n v="4"/>
    <x v="2"/>
    <x v="12"/>
    <x v="0"/>
  </r>
  <r>
    <x v="260"/>
    <n v="109"/>
    <n v="40"/>
    <n v="1"/>
    <x v="1"/>
    <x v="15"/>
    <x v="0"/>
  </r>
  <r>
    <x v="44"/>
    <n v="108"/>
    <n v="22"/>
    <n v="3"/>
    <x v="0"/>
    <x v="13"/>
    <x v="0"/>
  </r>
  <r>
    <x v="278"/>
    <n v="103"/>
    <n v="50"/>
    <n v="2"/>
    <x v="1"/>
    <x v="15"/>
    <x v="3"/>
  </r>
  <r>
    <x v="178"/>
    <n v="10"/>
    <n v="-8"/>
    <n v="2"/>
    <x v="2"/>
    <x v="9"/>
    <x v="0"/>
  </r>
  <r>
    <x v="139"/>
    <n v="90"/>
    <n v="17"/>
    <n v="3"/>
    <x v="2"/>
    <x v="7"/>
    <x v="0"/>
  </r>
  <r>
    <x v="173"/>
    <n v="105"/>
    <n v="46"/>
    <n v="2"/>
    <x v="2"/>
    <x v="11"/>
    <x v="3"/>
  </r>
  <r>
    <x v="304"/>
    <n v="105"/>
    <n v="20"/>
    <n v="2"/>
    <x v="2"/>
    <x v="11"/>
    <x v="4"/>
  </r>
  <r>
    <x v="337"/>
    <n v="22"/>
    <n v="-6"/>
    <n v="1"/>
    <x v="1"/>
    <x v="15"/>
    <x v="0"/>
  </r>
  <r>
    <x v="83"/>
    <n v="105"/>
    <n v="-33"/>
    <n v="5"/>
    <x v="2"/>
    <x v="8"/>
    <x v="0"/>
  </r>
  <r>
    <x v="338"/>
    <n v="105"/>
    <n v="25"/>
    <n v="2"/>
    <x v="2"/>
    <x v="7"/>
    <x v="1"/>
  </r>
  <r>
    <x v="339"/>
    <n v="25"/>
    <n v="-7"/>
    <n v="5"/>
    <x v="2"/>
    <x v="6"/>
    <x v="3"/>
  </r>
  <r>
    <x v="278"/>
    <n v="104"/>
    <n v="2"/>
    <n v="2"/>
    <x v="1"/>
    <x v="15"/>
    <x v="0"/>
  </r>
  <r>
    <x v="340"/>
    <n v="16"/>
    <n v="5"/>
    <n v="1"/>
    <x v="2"/>
    <x v="11"/>
    <x v="3"/>
  </r>
  <r>
    <x v="183"/>
    <n v="64"/>
    <n v="-7"/>
    <n v="3"/>
    <x v="2"/>
    <x v="6"/>
    <x v="0"/>
  </r>
  <r>
    <x v="341"/>
    <n v="38"/>
    <n v="-6"/>
    <n v="2"/>
    <x v="1"/>
    <x v="15"/>
    <x v="3"/>
  </r>
  <r>
    <x v="342"/>
    <n v="83"/>
    <n v="12"/>
    <n v="2"/>
    <x v="1"/>
    <x v="1"/>
    <x v="0"/>
  </r>
  <r>
    <x v="159"/>
    <n v="103"/>
    <n v="36"/>
    <n v="2"/>
    <x v="2"/>
    <x v="7"/>
    <x v="0"/>
  </r>
  <r>
    <x v="131"/>
    <n v="37"/>
    <n v="-6"/>
    <n v="1"/>
    <x v="2"/>
    <x v="6"/>
    <x v="3"/>
  </r>
  <r>
    <x v="343"/>
    <n v="105"/>
    <n v="33"/>
    <n v="6"/>
    <x v="2"/>
    <x v="6"/>
    <x v="1"/>
  </r>
  <r>
    <x v="110"/>
    <n v="78"/>
    <n v="-6"/>
    <n v="2"/>
    <x v="1"/>
    <x v="15"/>
    <x v="3"/>
  </r>
  <r>
    <x v="14"/>
    <n v="102"/>
    <n v="-90"/>
    <n v="1"/>
    <x v="2"/>
    <x v="6"/>
    <x v="0"/>
  </r>
  <r>
    <x v="344"/>
    <n v="102"/>
    <n v="11"/>
    <n v="6"/>
    <x v="2"/>
    <x v="14"/>
    <x v="0"/>
  </r>
  <r>
    <x v="230"/>
    <n v="10"/>
    <n v="-8"/>
    <n v="1"/>
    <x v="2"/>
    <x v="8"/>
    <x v="3"/>
  </r>
  <r>
    <x v="93"/>
    <n v="101"/>
    <n v="18"/>
    <n v="9"/>
    <x v="2"/>
    <x v="9"/>
    <x v="0"/>
  </r>
  <r>
    <x v="345"/>
    <n v="42"/>
    <n v="-6"/>
    <n v="4"/>
    <x v="2"/>
    <x v="6"/>
    <x v="3"/>
  </r>
  <r>
    <x v="239"/>
    <n v="56"/>
    <n v="18"/>
    <n v="2"/>
    <x v="2"/>
    <x v="7"/>
    <x v="3"/>
  </r>
  <r>
    <x v="339"/>
    <n v="95"/>
    <n v="5"/>
    <n v="2"/>
    <x v="2"/>
    <x v="11"/>
    <x v="0"/>
  </r>
  <r>
    <x v="346"/>
    <n v="159"/>
    <n v="2"/>
    <n v="3"/>
    <x v="1"/>
    <x v="15"/>
    <x v="1"/>
  </r>
  <r>
    <x v="304"/>
    <n v="158"/>
    <n v="69"/>
    <n v="3"/>
    <x v="2"/>
    <x v="11"/>
    <x v="1"/>
  </r>
  <r>
    <x v="230"/>
    <n v="106"/>
    <n v="0"/>
    <n v="2"/>
    <x v="0"/>
    <x v="4"/>
    <x v="1"/>
  </r>
  <r>
    <x v="92"/>
    <n v="101"/>
    <n v="16"/>
    <n v="4"/>
    <x v="2"/>
    <x v="14"/>
    <x v="0"/>
  </r>
  <r>
    <x v="152"/>
    <n v="107"/>
    <n v="37"/>
    <n v="3"/>
    <x v="2"/>
    <x v="16"/>
    <x v="0"/>
  </r>
  <r>
    <x v="347"/>
    <n v="156"/>
    <n v="36"/>
    <n v="5"/>
    <x v="2"/>
    <x v="14"/>
    <x v="1"/>
  </r>
  <r>
    <x v="348"/>
    <n v="108"/>
    <n v="-19"/>
    <n v="3"/>
    <x v="0"/>
    <x v="0"/>
    <x v="3"/>
  </r>
  <r>
    <x v="233"/>
    <n v="107"/>
    <n v="-54"/>
    <n v="4"/>
    <x v="2"/>
    <x v="11"/>
    <x v="1"/>
  </r>
  <r>
    <x v="349"/>
    <n v="100"/>
    <n v="-58"/>
    <n v="4"/>
    <x v="2"/>
    <x v="7"/>
    <x v="0"/>
  </r>
  <r>
    <x v="249"/>
    <n v="108"/>
    <n v="26"/>
    <n v="4"/>
    <x v="2"/>
    <x v="16"/>
    <x v="3"/>
  </r>
  <r>
    <x v="350"/>
    <n v="100"/>
    <n v="6"/>
    <n v="4"/>
    <x v="2"/>
    <x v="11"/>
    <x v="0"/>
  </r>
  <r>
    <x v="186"/>
    <n v="100"/>
    <n v="-23"/>
    <n v="1"/>
    <x v="0"/>
    <x v="4"/>
    <x v="0"/>
  </r>
  <r>
    <x v="96"/>
    <n v="43"/>
    <n v="17"/>
    <n v="2"/>
    <x v="2"/>
    <x v="14"/>
    <x v="3"/>
  </r>
  <r>
    <x v="167"/>
    <n v="155"/>
    <n v="26"/>
    <n v="3"/>
    <x v="2"/>
    <x v="11"/>
    <x v="1"/>
  </r>
  <r>
    <x v="351"/>
    <n v="151"/>
    <n v="9"/>
    <n v="3"/>
    <x v="2"/>
    <x v="7"/>
    <x v="1"/>
  </r>
  <r>
    <x v="133"/>
    <n v="151"/>
    <n v="29"/>
    <n v="5"/>
    <x v="2"/>
    <x v="7"/>
    <x v="1"/>
  </r>
  <r>
    <x v="15"/>
    <n v="110"/>
    <n v="-68"/>
    <n v="4"/>
    <x v="2"/>
    <x v="6"/>
    <x v="1"/>
  </r>
  <r>
    <x v="74"/>
    <n v="98"/>
    <n v="9"/>
    <n v="2"/>
    <x v="1"/>
    <x v="15"/>
    <x v="0"/>
  </r>
  <r>
    <x v="15"/>
    <n v="97"/>
    <n v="-62"/>
    <n v="2"/>
    <x v="2"/>
    <x v="5"/>
    <x v="0"/>
  </r>
  <r>
    <x v="94"/>
    <n v="111"/>
    <n v="35"/>
    <n v="5"/>
    <x v="2"/>
    <x v="16"/>
    <x v="0"/>
  </r>
  <r>
    <x v="265"/>
    <n v="45"/>
    <n v="17"/>
    <n v="1"/>
    <x v="0"/>
    <x v="13"/>
    <x v="0"/>
  </r>
  <r>
    <x v="352"/>
    <n v="112"/>
    <n v="15"/>
    <n v="2"/>
    <x v="1"/>
    <x v="1"/>
    <x v="0"/>
  </r>
  <r>
    <x v="2"/>
    <n v="110"/>
    <n v="20"/>
    <n v="5"/>
    <x v="2"/>
    <x v="11"/>
    <x v="4"/>
  </r>
  <r>
    <x v="61"/>
    <n v="98"/>
    <n v="-5"/>
    <n v="2"/>
    <x v="2"/>
    <x v="6"/>
    <x v="3"/>
  </r>
  <r>
    <x v="353"/>
    <n v="110"/>
    <n v="12"/>
    <n v="7"/>
    <x v="2"/>
    <x v="11"/>
    <x v="4"/>
  </r>
  <r>
    <x v="18"/>
    <n v="95"/>
    <n v="11"/>
    <n v="4"/>
    <x v="1"/>
    <x v="15"/>
    <x v="0"/>
  </r>
  <r>
    <x v="184"/>
    <n v="1228"/>
    <n v="14"/>
    <n v="3"/>
    <x v="1"/>
    <x v="1"/>
    <x v="3"/>
  </r>
  <r>
    <x v="253"/>
    <n v="29"/>
    <n v="0"/>
    <n v="3"/>
    <x v="1"/>
    <x v="15"/>
    <x v="0"/>
  </r>
  <r>
    <x v="1"/>
    <n v="94"/>
    <n v="27"/>
    <n v="2"/>
    <x v="2"/>
    <x v="14"/>
    <x v="0"/>
  </r>
  <r>
    <x v="87"/>
    <n v="115"/>
    <n v="25"/>
    <n v="1"/>
    <x v="0"/>
    <x v="13"/>
    <x v="0"/>
  </r>
  <r>
    <x v="170"/>
    <n v="149"/>
    <n v="15"/>
    <n v="3"/>
    <x v="2"/>
    <x v="6"/>
    <x v="1"/>
  </r>
  <r>
    <x v="92"/>
    <n v="148"/>
    <n v="23"/>
    <n v="4"/>
    <x v="2"/>
    <x v="8"/>
    <x v="1"/>
  </r>
  <r>
    <x v="25"/>
    <n v="93"/>
    <n v="15"/>
    <n v="2"/>
    <x v="0"/>
    <x v="13"/>
    <x v="0"/>
  </r>
  <r>
    <x v="329"/>
    <n v="113"/>
    <n v="24"/>
    <n v="4"/>
    <x v="2"/>
    <x v="7"/>
    <x v="4"/>
  </r>
  <r>
    <x v="232"/>
    <n v="48"/>
    <n v="2"/>
    <n v="3"/>
    <x v="2"/>
    <x v="11"/>
    <x v="0"/>
  </r>
  <r>
    <x v="296"/>
    <n v="148"/>
    <n v="9"/>
    <n v="1"/>
    <x v="0"/>
    <x v="0"/>
    <x v="3"/>
  </r>
  <r>
    <x v="354"/>
    <n v="114"/>
    <n v="11"/>
    <n v="4"/>
    <x v="2"/>
    <x v="14"/>
    <x v="4"/>
  </r>
  <r>
    <x v="51"/>
    <n v="92"/>
    <n v="42"/>
    <n v="2"/>
    <x v="2"/>
    <x v="11"/>
    <x v="0"/>
  </r>
  <r>
    <x v="355"/>
    <n v="117"/>
    <n v="14"/>
    <n v="3"/>
    <x v="2"/>
    <x v="16"/>
    <x v="3"/>
  </r>
  <r>
    <x v="52"/>
    <n v="21"/>
    <n v="-10"/>
    <n v="4"/>
    <x v="2"/>
    <x v="12"/>
    <x v="0"/>
  </r>
  <r>
    <x v="356"/>
    <n v="33"/>
    <n v="-10"/>
    <n v="6"/>
    <x v="2"/>
    <x v="12"/>
    <x v="3"/>
  </r>
  <r>
    <x v="69"/>
    <n v="114"/>
    <n v="8"/>
    <n v="3"/>
    <x v="0"/>
    <x v="13"/>
    <x v="4"/>
  </r>
  <r>
    <x v="172"/>
    <n v="115"/>
    <n v="0"/>
    <n v="1"/>
    <x v="0"/>
    <x v="13"/>
    <x v="4"/>
  </r>
  <r>
    <x v="9"/>
    <n v="90"/>
    <n v="29"/>
    <n v="5"/>
    <x v="2"/>
    <x v="14"/>
    <x v="0"/>
  </r>
  <r>
    <x v="357"/>
    <n v="61"/>
    <n v="1"/>
    <n v="2"/>
    <x v="1"/>
    <x v="15"/>
    <x v="0"/>
  </r>
  <r>
    <x v="358"/>
    <n v="119"/>
    <n v="1"/>
    <n v="1"/>
    <x v="1"/>
    <x v="1"/>
    <x v="0"/>
  </r>
  <r>
    <x v="81"/>
    <n v="117"/>
    <n v="36"/>
    <n v="2"/>
    <x v="2"/>
    <x v="5"/>
    <x v="4"/>
  </r>
  <r>
    <x v="359"/>
    <n v="148"/>
    <n v="54"/>
    <n v="2"/>
    <x v="1"/>
    <x v="1"/>
    <x v="3"/>
  </r>
  <r>
    <x v="158"/>
    <n v="249"/>
    <n v="-5"/>
    <n v="4"/>
    <x v="2"/>
    <x v="6"/>
    <x v="0"/>
  </r>
  <r>
    <x v="85"/>
    <n v="147"/>
    <n v="73"/>
    <n v="3"/>
    <x v="2"/>
    <x v="11"/>
    <x v="3"/>
  </r>
  <r>
    <x v="360"/>
    <n v="118"/>
    <n v="35"/>
    <n v="7"/>
    <x v="2"/>
    <x v="14"/>
    <x v="1"/>
  </r>
  <r>
    <x v="162"/>
    <n v="119"/>
    <n v="56"/>
    <n v="7"/>
    <x v="2"/>
    <x v="6"/>
    <x v="1"/>
  </r>
  <r>
    <x v="346"/>
    <n v="90"/>
    <n v="27"/>
    <n v="2"/>
    <x v="2"/>
    <x v="14"/>
    <x v="0"/>
  </r>
  <r>
    <x v="231"/>
    <n v="32"/>
    <n v="1"/>
    <n v="2"/>
    <x v="2"/>
    <x v="11"/>
    <x v="0"/>
  </r>
  <r>
    <x v="361"/>
    <n v="89"/>
    <n v="-89"/>
    <n v="2"/>
    <x v="1"/>
    <x v="15"/>
    <x v="0"/>
  </r>
  <r>
    <x v="296"/>
    <n v="146"/>
    <n v="66"/>
    <n v="1"/>
    <x v="0"/>
    <x v="4"/>
    <x v="3"/>
  </r>
  <r>
    <x v="362"/>
    <n v="89"/>
    <n v="-37"/>
    <n v="4"/>
    <x v="2"/>
    <x v="16"/>
    <x v="0"/>
  </r>
  <r>
    <x v="211"/>
    <n v="88"/>
    <n v="11"/>
    <n v="3"/>
    <x v="0"/>
    <x v="13"/>
    <x v="0"/>
  </r>
  <r>
    <x v="363"/>
    <n v="121"/>
    <n v="41"/>
    <n v="4"/>
    <x v="2"/>
    <x v="11"/>
    <x v="1"/>
  </r>
  <r>
    <x v="241"/>
    <n v="88"/>
    <n v="20"/>
    <n v="2"/>
    <x v="2"/>
    <x v="6"/>
    <x v="0"/>
  </r>
  <r>
    <x v="150"/>
    <n v="87"/>
    <n v="-83"/>
    <n v="5"/>
    <x v="2"/>
    <x v="8"/>
    <x v="0"/>
  </r>
  <r>
    <x v="364"/>
    <n v="87"/>
    <n v="4"/>
    <n v="2"/>
    <x v="2"/>
    <x v="16"/>
    <x v="0"/>
  </r>
  <r>
    <x v="365"/>
    <n v="122"/>
    <n v="15"/>
    <n v="3"/>
    <x v="0"/>
    <x v="13"/>
    <x v="1"/>
  </r>
  <r>
    <x v="366"/>
    <n v="87"/>
    <n v="10"/>
    <n v="3"/>
    <x v="2"/>
    <x v="11"/>
    <x v="0"/>
  </r>
  <r>
    <x v="367"/>
    <n v="53"/>
    <n v="8"/>
    <n v="3"/>
    <x v="1"/>
    <x v="15"/>
    <x v="3"/>
  </r>
  <r>
    <x v="102"/>
    <n v="87"/>
    <n v="-32"/>
    <n v="9"/>
    <x v="2"/>
    <x v="9"/>
    <x v="0"/>
  </r>
  <r>
    <x v="368"/>
    <n v="86"/>
    <n v="-55"/>
    <n v="6"/>
    <x v="2"/>
    <x v="6"/>
    <x v="0"/>
  </r>
  <r>
    <x v="369"/>
    <n v="125"/>
    <n v="22"/>
    <n v="3"/>
    <x v="2"/>
    <x v="11"/>
    <x v="1"/>
  </r>
  <r>
    <x v="148"/>
    <n v="128"/>
    <n v="-3"/>
    <n v="3"/>
    <x v="2"/>
    <x v="6"/>
    <x v="4"/>
  </r>
  <r>
    <x v="192"/>
    <n v="143"/>
    <n v="-124"/>
    <n v="5"/>
    <x v="2"/>
    <x v="6"/>
    <x v="3"/>
  </r>
  <r>
    <x v="53"/>
    <n v="86"/>
    <n v="22"/>
    <n v="2"/>
    <x v="2"/>
    <x v="6"/>
    <x v="0"/>
  </r>
  <r>
    <x v="370"/>
    <n v="86"/>
    <n v="9"/>
    <n v="3"/>
    <x v="2"/>
    <x v="6"/>
    <x v="0"/>
  </r>
  <r>
    <x v="257"/>
    <n v="85"/>
    <n v="-9"/>
    <n v="4"/>
    <x v="2"/>
    <x v="6"/>
    <x v="0"/>
  </r>
  <r>
    <x v="236"/>
    <n v="129"/>
    <n v="-75"/>
    <n v="5"/>
    <x v="2"/>
    <x v="16"/>
    <x v="4"/>
  </r>
  <r>
    <x v="371"/>
    <n v="84"/>
    <n v="-42"/>
    <n v="2"/>
    <x v="0"/>
    <x v="13"/>
    <x v="0"/>
  </r>
  <r>
    <x v="91"/>
    <n v="83"/>
    <n v="-81"/>
    <n v="3"/>
    <x v="1"/>
    <x v="1"/>
    <x v="0"/>
  </r>
  <r>
    <x v="265"/>
    <n v="143"/>
    <n v="6"/>
    <n v="2"/>
    <x v="0"/>
    <x v="13"/>
    <x v="3"/>
  </r>
  <r>
    <x v="372"/>
    <n v="336"/>
    <n v="123"/>
    <n v="3"/>
    <x v="0"/>
    <x v="4"/>
    <x v="3"/>
  </r>
  <r>
    <x v="44"/>
    <n v="323"/>
    <n v="122"/>
    <n v="5"/>
    <x v="0"/>
    <x v="4"/>
    <x v="3"/>
  </r>
  <r>
    <x v="228"/>
    <n v="130"/>
    <n v="61"/>
    <n v="3"/>
    <x v="2"/>
    <x v="16"/>
    <x v="4"/>
  </r>
  <r>
    <x v="260"/>
    <n v="152"/>
    <n v="-3"/>
    <n v="5"/>
    <x v="2"/>
    <x v="6"/>
    <x v="0"/>
  </r>
  <r>
    <x v="365"/>
    <n v="25"/>
    <n v="10"/>
    <n v="1"/>
    <x v="1"/>
    <x v="15"/>
    <x v="3"/>
  </r>
  <r>
    <x v="109"/>
    <n v="140"/>
    <n v="15"/>
    <n v="5"/>
    <x v="2"/>
    <x v="11"/>
    <x v="3"/>
  </r>
  <r>
    <x v="209"/>
    <n v="45"/>
    <n v="0"/>
    <n v="2"/>
    <x v="2"/>
    <x v="11"/>
    <x v="3"/>
  </r>
  <r>
    <x v="125"/>
    <n v="132"/>
    <n v="49"/>
    <n v="3"/>
    <x v="2"/>
    <x v="16"/>
    <x v="0"/>
  </r>
  <r>
    <x v="197"/>
    <n v="133"/>
    <n v="12"/>
    <n v="5"/>
    <x v="2"/>
    <x v="11"/>
    <x v="4"/>
  </r>
  <r>
    <x v="155"/>
    <n v="82"/>
    <n v="13"/>
    <n v="2"/>
    <x v="2"/>
    <x v="16"/>
    <x v="0"/>
  </r>
  <r>
    <x v="211"/>
    <n v="140"/>
    <n v="56"/>
    <n v="4"/>
    <x v="2"/>
    <x v="16"/>
    <x v="3"/>
  </r>
  <r>
    <x v="298"/>
    <n v="81"/>
    <n v="19"/>
    <n v="7"/>
    <x v="2"/>
    <x v="7"/>
    <x v="0"/>
  </r>
  <r>
    <x v="45"/>
    <n v="137"/>
    <n v="38"/>
    <n v="5"/>
    <x v="2"/>
    <x v="7"/>
    <x v="4"/>
  </r>
  <r>
    <x v="373"/>
    <n v="137"/>
    <n v="-41"/>
    <n v="3"/>
    <x v="0"/>
    <x v="4"/>
    <x v="4"/>
  </r>
  <r>
    <x v="351"/>
    <n v="140"/>
    <n v="57"/>
    <n v="2"/>
    <x v="2"/>
    <x v="5"/>
    <x v="4"/>
  </r>
  <r>
    <x v="374"/>
    <n v="139"/>
    <n v="30"/>
    <n v="3"/>
    <x v="2"/>
    <x v="16"/>
    <x v="3"/>
  </r>
  <r>
    <x v="241"/>
    <n v="138"/>
    <n v="11"/>
    <n v="5"/>
    <x v="2"/>
    <x v="11"/>
    <x v="3"/>
  </r>
  <r>
    <x v="375"/>
    <n v="79"/>
    <n v="-124"/>
    <n v="9"/>
    <x v="2"/>
    <x v="9"/>
    <x v="0"/>
  </r>
  <r>
    <x v="376"/>
    <n v="136"/>
    <n v="41"/>
    <n v="3"/>
    <x v="0"/>
    <x v="13"/>
    <x v="3"/>
  </r>
  <r>
    <x v="265"/>
    <n v="145"/>
    <n v="16"/>
    <n v="3"/>
    <x v="2"/>
    <x v="14"/>
    <x v="4"/>
  </r>
  <r>
    <x v="142"/>
    <n v="44"/>
    <n v="20"/>
    <n v="2"/>
    <x v="2"/>
    <x v="14"/>
    <x v="3"/>
  </r>
  <r>
    <x v="274"/>
    <n v="79"/>
    <n v="6"/>
    <n v="7"/>
    <x v="2"/>
    <x v="6"/>
    <x v="0"/>
  </r>
  <r>
    <x v="126"/>
    <n v="79"/>
    <n v="36"/>
    <n v="4"/>
    <x v="2"/>
    <x v="16"/>
    <x v="0"/>
  </r>
  <r>
    <x v="180"/>
    <n v="134"/>
    <n v="-13"/>
    <n v="3"/>
    <x v="0"/>
    <x v="0"/>
    <x v="3"/>
  </r>
  <r>
    <x v="21"/>
    <n v="133"/>
    <n v="5"/>
    <n v="5"/>
    <x v="2"/>
    <x v="11"/>
    <x v="3"/>
  </r>
  <r>
    <x v="179"/>
    <n v="47"/>
    <n v="20"/>
    <n v="7"/>
    <x v="2"/>
    <x v="7"/>
    <x v="3"/>
  </r>
  <r>
    <x v="226"/>
    <n v="133"/>
    <n v="-42"/>
    <n v="1"/>
    <x v="0"/>
    <x v="3"/>
    <x v="3"/>
  </r>
  <r>
    <x v="377"/>
    <n v="78"/>
    <n v="27"/>
    <n v="3"/>
    <x v="2"/>
    <x v="11"/>
    <x v="0"/>
  </r>
  <r>
    <x v="378"/>
    <n v="78"/>
    <n v="7"/>
    <n v="1"/>
    <x v="1"/>
    <x v="1"/>
    <x v="0"/>
  </r>
  <r>
    <x v="379"/>
    <n v="76"/>
    <n v="-92"/>
    <n v="8"/>
    <x v="1"/>
    <x v="15"/>
    <x v="0"/>
  </r>
  <r>
    <x v="380"/>
    <n v="76"/>
    <n v="-50"/>
    <n v="1"/>
    <x v="2"/>
    <x v="6"/>
    <x v="0"/>
  </r>
  <r>
    <x v="202"/>
    <n v="76"/>
    <n v="19"/>
    <n v="3"/>
    <x v="2"/>
    <x v="7"/>
    <x v="0"/>
  </r>
  <r>
    <x v="123"/>
    <n v="74"/>
    <n v="29"/>
    <n v="3"/>
    <x v="2"/>
    <x v="11"/>
    <x v="0"/>
  </r>
  <r>
    <x v="381"/>
    <n v="74"/>
    <n v="-25"/>
    <n v="3"/>
    <x v="2"/>
    <x v="11"/>
    <x v="0"/>
  </r>
  <r>
    <x v="113"/>
    <n v="146"/>
    <n v="-63"/>
    <n v="3"/>
    <x v="0"/>
    <x v="0"/>
    <x v="4"/>
  </r>
  <r>
    <x v="110"/>
    <n v="73"/>
    <n v="-31"/>
    <n v="1"/>
    <x v="1"/>
    <x v="2"/>
    <x v="0"/>
  </r>
  <r>
    <x v="58"/>
    <n v="80"/>
    <n v="22"/>
    <n v="3"/>
    <x v="2"/>
    <x v="11"/>
    <x v="3"/>
  </r>
  <r>
    <x v="262"/>
    <n v="133"/>
    <n v="46"/>
    <n v="5"/>
    <x v="2"/>
    <x v="16"/>
    <x v="1"/>
  </r>
  <r>
    <x v="382"/>
    <n v="146"/>
    <n v="7"/>
    <n v="2"/>
    <x v="0"/>
    <x v="4"/>
    <x v="4"/>
  </r>
  <r>
    <x v="186"/>
    <n v="130"/>
    <n v="-41"/>
    <n v="4"/>
    <x v="2"/>
    <x v="6"/>
    <x v="1"/>
  </r>
  <r>
    <x v="383"/>
    <n v="141"/>
    <n v="41"/>
    <n v="3"/>
    <x v="2"/>
    <x v="16"/>
    <x v="3"/>
  </r>
  <r>
    <x v="182"/>
    <n v="147"/>
    <n v="21"/>
    <n v="3"/>
    <x v="1"/>
    <x v="15"/>
    <x v="4"/>
  </r>
  <r>
    <x v="69"/>
    <n v="73"/>
    <n v="-7"/>
    <n v="1"/>
    <x v="0"/>
    <x v="4"/>
    <x v="0"/>
  </r>
  <r>
    <x v="384"/>
    <n v="148"/>
    <n v="72"/>
    <n v="7"/>
    <x v="2"/>
    <x v="14"/>
    <x v="4"/>
  </r>
  <r>
    <x v="385"/>
    <n v="58"/>
    <n v="0"/>
    <n v="4"/>
    <x v="2"/>
    <x v="6"/>
    <x v="3"/>
  </r>
  <r>
    <x v="276"/>
    <n v="21"/>
    <n v="-13"/>
    <n v="3"/>
    <x v="2"/>
    <x v="12"/>
    <x v="3"/>
  </r>
  <r>
    <x v="3"/>
    <n v="148"/>
    <n v="25"/>
    <n v="3"/>
    <x v="2"/>
    <x v="6"/>
    <x v="4"/>
  </r>
  <r>
    <x v="386"/>
    <n v="144"/>
    <n v="-7"/>
    <n v="4"/>
    <x v="0"/>
    <x v="0"/>
    <x v="0"/>
  </r>
  <r>
    <x v="258"/>
    <n v="145"/>
    <n v="-104"/>
    <n v="5"/>
    <x v="1"/>
    <x v="1"/>
    <x v="3"/>
  </r>
  <r>
    <x v="82"/>
    <n v="72"/>
    <n v="-49"/>
    <n v="1"/>
    <x v="0"/>
    <x v="4"/>
    <x v="0"/>
  </r>
  <r>
    <x v="20"/>
    <n v="125"/>
    <n v="15"/>
    <n v="5"/>
    <x v="2"/>
    <x v="16"/>
    <x v="1"/>
  </r>
  <r>
    <x v="45"/>
    <n v="149"/>
    <n v="15"/>
    <n v="3"/>
    <x v="2"/>
    <x v="6"/>
    <x v="4"/>
  </r>
  <r>
    <x v="86"/>
    <n v="72"/>
    <n v="16"/>
    <n v="2"/>
    <x v="2"/>
    <x v="16"/>
    <x v="0"/>
  </r>
  <r>
    <x v="25"/>
    <n v="71"/>
    <n v="0"/>
    <n v="8"/>
    <x v="2"/>
    <x v="9"/>
    <x v="0"/>
  </r>
  <r>
    <x v="387"/>
    <n v="71"/>
    <n v="-14"/>
    <n v="4"/>
    <x v="1"/>
    <x v="15"/>
    <x v="0"/>
  </r>
  <r>
    <x v="66"/>
    <n v="154"/>
    <n v="-85"/>
    <n v="3"/>
    <x v="1"/>
    <x v="1"/>
    <x v="1"/>
  </r>
  <r>
    <x v="120"/>
    <n v="191"/>
    <n v="13"/>
    <n v="8"/>
    <x v="1"/>
    <x v="15"/>
    <x v="0"/>
  </r>
  <r>
    <x v="371"/>
    <n v="170"/>
    <n v="19"/>
    <n v="5"/>
    <x v="2"/>
    <x v="14"/>
    <x v="3"/>
  </r>
  <r>
    <x v="40"/>
    <n v="47"/>
    <n v="-3"/>
    <n v="2"/>
    <x v="2"/>
    <x v="11"/>
    <x v="3"/>
  </r>
  <r>
    <x v="50"/>
    <n v="122"/>
    <n v="-47"/>
    <n v="4"/>
    <x v="2"/>
    <x v="6"/>
    <x v="1"/>
  </r>
  <r>
    <x v="298"/>
    <n v="70"/>
    <n v="26"/>
    <n v="5"/>
    <x v="2"/>
    <x v="7"/>
    <x v="0"/>
  </r>
  <r>
    <x v="231"/>
    <n v="155"/>
    <n v="5"/>
    <n v="3"/>
    <x v="2"/>
    <x v="11"/>
    <x v="1"/>
  </r>
  <r>
    <x v="388"/>
    <n v="67"/>
    <n v="-86"/>
    <n v="9"/>
    <x v="1"/>
    <x v="15"/>
    <x v="0"/>
  </r>
  <r>
    <x v="69"/>
    <n v="67"/>
    <n v="-42"/>
    <n v="3"/>
    <x v="2"/>
    <x v="11"/>
    <x v="0"/>
  </r>
  <r>
    <x v="37"/>
    <n v="148"/>
    <n v="-101"/>
    <n v="2"/>
    <x v="1"/>
    <x v="2"/>
    <x v="3"/>
  </r>
  <r>
    <x v="196"/>
    <n v="122"/>
    <n v="38"/>
    <n v="6"/>
    <x v="2"/>
    <x v="14"/>
    <x v="2"/>
  </r>
  <r>
    <x v="389"/>
    <n v="16"/>
    <n v="-5"/>
    <n v="2"/>
    <x v="2"/>
    <x v="11"/>
    <x v="3"/>
  </r>
  <r>
    <x v="173"/>
    <n v="121"/>
    <n v="-17"/>
    <n v="3"/>
    <x v="1"/>
    <x v="15"/>
    <x v="2"/>
  </r>
  <r>
    <x v="110"/>
    <n v="42"/>
    <n v="-15"/>
    <n v="12"/>
    <x v="2"/>
    <x v="9"/>
    <x v="3"/>
  </r>
  <r>
    <x v="230"/>
    <n v="65"/>
    <n v="-4"/>
    <n v="6"/>
    <x v="2"/>
    <x v="7"/>
    <x v="0"/>
  </r>
  <r>
    <x v="354"/>
    <n v="119"/>
    <n v="-43"/>
    <n v="7"/>
    <x v="2"/>
    <x v="8"/>
    <x v="2"/>
  </r>
  <r>
    <x v="368"/>
    <n v="155"/>
    <n v="56"/>
    <n v="3"/>
    <x v="1"/>
    <x v="15"/>
    <x v="1"/>
  </r>
  <r>
    <x v="4"/>
    <n v="119"/>
    <n v="-5"/>
    <n v="8"/>
    <x v="2"/>
    <x v="6"/>
    <x v="2"/>
  </r>
  <r>
    <x v="390"/>
    <n v="118"/>
    <n v="25"/>
    <n v="4"/>
    <x v="2"/>
    <x v="7"/>
    <x v="2"/>
  </r>
  <r>
    <x v="101"/>
    <n v="116"/>
    <n v="22"/>
    <n v="1"/>
    <x v="0"/>
    <x v="13"/>
    <x v="2"/>
  </r>
  <r>
    <x v="21"/>
    <n v="158"/>
    <n v="-29"/>
    <n v="10"/>
    <x v="2"/>
    <x v="7"/>
    <x v="1"/>
  </r>
  <r>
    <x v="291"/>
    <n v="158"/>
    <n v="69"/>
    <n v="3"/>
    <x v="2"/>
    <x v="11"/>
    <x v="1"/>
  </r>
  <r>
    <x v="256"/>
    <n v="65"/>
    <n v="-52"/>
    <n v="3"/>
    <x v="0"/>
    <x v="13"/>
    <x v="0"/>
  </r>
  <r>
    <x v="391"/>
    <n v="160"/>
    <n v="-59"/>
    <n v="2"/>
    <x v="2"/>
    <x v="6"/>
    <x v="1"/>
  </r>
  <r>
    <x v="46"/>
    <n v="162"/>
    <n v="20"/>
    <n v="3"/>
    <x v="1"/>
    <x v="1"/>
    <x v="1"/>
  </r>
  <r>
    <x v="152"/>
    <n v="63"/>
    <n v="1"/>
    <n v="4"/>
    <x v="2"/>
    <x v="14"/>
    <x v="0"/>
  </r>
  <r>
    <x v="392"/>
    <n v="64"/>
    <n v="27"/>
    <n v="5"/>
    <x v="2"/>
    <x v="7"/>
    <x v="3"/>
  </r>
  <r>
    <x v="393"/>
    <n v="166"/>
    <n v="-113"/>
    <n v="4"/>
    <x v="0"/>
    <x v="13"/>
    <x v="1"/>
  </r>
  <r>
    <x v="394"/>
    <n v="167"/>
    <n v="43"/>
    <n v="7"/>
    <x v="2"/>
    <x v="14"/>
    <x v="1"/>
  </r>
  <r>
    <x v="395"/>
    <n v="123"/>
    <n v="17"/>
    <n v="3"/>
    <x v="1"/>
    <x v="15"/>
    <x v="0"/>
  </r>
  <r>
    <x v="95"/>
    <n v="63"/>
    <n v="14"/>
    <n v="2"/>
    <x v="2"/>
    <x v="16"/>
    <x v="0"/>
  </r>
  <r>
    <x v="296"/>
    <n v="891"/>
    <n v="0"/>
    <n v="5"/>
    <x v="2"/>
    <x v="6"/>
    <x v="0"/>
  </r>
  <r>
    <x v="166"/>
    <n v="75"/>
    <n v="28"/>
    <n v="9"/>
    <x v="2"/>
    <x v="7"/>
    <x v="3"/>
  </r>
  <r>
    <x v="239"/>
    <n v="62"/>
    <n v="6"/>
    <n v="5"/>
    <x v="2"/>
    <x v="7"/>
    <x v="0"/>
  </r>
  <r>
    <x v="308"/>
    <n v="29"/>
    <n v="-18"/>
    <n v="7"/>
    <x v="2"/>
    <x v="9"/>
    <x v="3"/>
  </r>
  <r>
    <x v="396"/>
    <n v="168"/>
    <n v="18"/>
    <n v="6"/>
    <x v="2"/>
    <x v="11"/>
    <x v="4"/>
  </r>
  <r>
    <x v="179"/>
    <n v="70"/>
    <n v="24"/>
    <n v="3"/>
    <x v="2"/>
    <x v="11"/>
    <x v="3"/>
  </r>
  <r>
    <x v="198"/>
    <n v="169"/>
    <n v="55"/>
    <n v="4"/>
    <x v="2"/>
    <x v="6"/>
    <x v="4"/>
  </r>
  <r>
    <x v="120"/>
    <n v="32"/>
    <n v="-8"/>
    <n v="2"/>
    <x v="2"/>
    <x v="11"/>
    <x v="0"/>
  </r>
  <r>
    <x v="89"/>
    <n v="44"/>
    <n v="-8"/>
    <n v="3"/>
    <x v="2"/>
    <x v="11"/>
    <x v="3"/>
  </r>
  <r>
    <x v="77"/>
    <n v="116"/>
    <n v="-56"/>
    <n v="5"/>
    <x v="2"/>
    <x v="11"/>
    <x v="2"/>
  </r>
  <r>
    <x v="397"/>
    <n v="156"/>
    <n v="21"/>
    <n v="3"/>
    <x v="1"/>
    <x v="1"/>
    <x v="0"/>
  </r>
  <r>
    <x v="141"/>
    <n v="62"/>
    <n v="6"/>
    <n v="6"/>
    <x v="2"/>
    <x v="9"/>
    <x v="0"/>
  </r>
  <r>
    <x v="25"/>
    <n v="54"/>
    <n v="1"/>
    <n v="2"/>
    <x v="2"/>
    <x v="6"/>
    <x v="3"/>
  </r>
  <r>
    <x v="147"/>
    <n v="111"/>
    <n v="11"/>
    <n v="9"/>
    <x v="2"/>
    <x v="7"/>
    <x v="2"/>
  </r>
  <r>
    <x v="398"/>
    <n v="158"/>
    <n v="-63"/>
    <n v="4"/>
    <x v="1"/>
    <x v="1"/>
    <x v="3"/>
  </r>
  <r>
    <x v="183"/>
    <n v="7"/>
    <n v="-3"/>
    <n v="2"/>
    <x v="2"/>
    <x v="9"/>
    <x v="3"/>
  </r>
  <r>
    <x v="346"/>
    <n v="61"/>
    <n v="28"/>
    <n v="2"/>
    <x v="2"/>
    <x v="7"/>
    <x v="3"/>
  </r>
  <r>
    <x v="176"/>
    <n v="61"/>
    <n v="-50"/>
    <n v="4"/>
    <x v="2"/>
    <x v="7"/>
    <x v="0"/>
  </r>
  <r>
    <x v="274"/>
    <n v="154"/>
    <n v="26"/>
    <n v="4"/>
    <x v="0"/>
    <x v="13"/>
    <x v="0"/>
  </r>
  <r>
    <x v="9"/>
    <n v="62"/>
    <n v="1"/>
    <n v="3"/>
    <x v="2"/>
    <x v="6"/>
    <x v="0"/>
  </r>
  <r>
    <x v="399"/>
    <n v="169"/>
    <n v="38"/>
    <n v="3"/>
    <x v="2"/>
    <x v="6"/>
    <x v="4"/>
  </r>
  <r>
    <x v="376"/>
    <n v="61"/>
    <n v="18"/>
    <n v="2"/>
    <x v="0"/>
    <x v="13"/>
    <x v="0"/>
  </r>
  <r>
    <x v="93"/>
    <n v="61"/>
    <n v="-23"/>
    <n v="2"/>
    <x v="2"/>
    <x v="6"/>
    <x v="0"/>
  </r>
  <r>
    <x v="400"/>
    <n v="171"/>
    <n v="14"/>
    <n v="9"/>
    <x v="2"/>
    <x v="16"/>
    <x v="4"/>
  </r>
  <r>
    <x v="244"/>
    <n v="60"/>
    <n v="-49"/>
    <n v="8"/>
    <x v="2"/>
    <x v="7"/>
    <x v="0"/>
  </r>
  <r>
    <x v="356"/>
    <n v="25"/>
    <n v="-11"/>
    <n v="1"/>
    <x v="2"/>
    <x v="11"/>
    <x v="3"/>
  </r>
  <r>
    <x v="156"/>
    <n v="163"/>
    <n v="26"/>
    <n v="4"/>
    <x v="2"/>
    <x v="16"/>
    <x v="0"/>
  </r>
  <r>
    <x v="132"/>
    <n v="173"/>
    <n v="86"/>
    <n v="1"/>
    <x v="0"/>
    <x v="3"/>
    <x v="4"/>
  </r>
  <r>
    <x v="40"/>
    <n v="257"/>
    <n v="-3"/>
    <n v="2"/>
    <x v="1"/>
    <x v="2"/>
    <x v="3"/>
  </r>
  <r>
    <x v="401"/>
    <n v="108"/>
    <n v="37"/>
    <n v="2"/>
    <x v="2"/>
    <x v="11"/>
    <x v="2"/>
  </r>
  <r>
    <x v="402"/>
    <n v="177"/>
    <n v="41"/>
    <n v="4"/>
    <x v="2"/>
    <x v="16"/>
    <x v="4"/>
  </r>
  <r>
    <x v="74"/>
    <n v="106"/>
    <n v="15"/>
    <n v="7"/>
    <x v="2"/>
    <x v="7"/>
    <x v="2"/>
  </r>
  <r>
    <x v="29"/>
    <n v="41"/>
    <n v="-14"/>
    <n v="5"/>
    <x v="2"/>
    <x v="12"/>
    <x v="3"/>
  </r>
  <r>
    <x v="87"/>
    <n v="168"/>
    <n v="-10"/>
    <n v="3"/>
    <x v="0"/>
    <x v="13"/>
    <x v="3"/>
  </r>
  <r>
    <x v="108"/>
    <n v="60"/>
    <n v="21"/>
    <n v="4"/>
    <x v="2"/>
    <x v="11"/>
    <x v="0"/>
  </r>
  <r>
    <x v="403"/>
    <n v="31"/>
    <n v="-11"/>
    <n v="4"/>
    <x v="2"/>
    <x v="11"/>
    <x v="0"/>
  </r>
  <r>
    <x v="196"/>
    <n v="179"/>
    <n v="0"/>
    <n v="2"/>
    <x v="2"/>
    <x v="6"/>
    <x v="4"/>
  </r>
  <r>
    <x v="140"/>
    <n v="106"/>
    <n v="12"/>
    <n v="3"/>
    <x v="2"/>
    <x v="5"/>
    <x v="2"/>
  </r>
  <r>
    <x v="262"/>
    <n v="60"/>
    <n v="13"/>
    <n v="2"/>
    <x v="2"/>
    <x v="14"/>
    <x v="0"/>
  </r>
  <r>
    <x v="117"/>
    <n v="180"/>
    <n v="5"/>
    <n v="3"/>
    <x v="2"/>
    <x v="5"/>
    <x v="4"/>
  </r>
  <r>
    <x v="103"/>
    <n v="60"/>
    <n v="-10"/>
    <n v="2"/>
    <x v="1"/>
    <x v="15"/>
    <x v="0"/>
  </r>
  <r>
    <x v="357"/>
    <n v="59"/>
    <n v="25"/>
    <n v="3"/>
    <x v="2"/>
    <x v="11"/>
    <x v="0"/>
  </r>
  <r>
    <x v="54"/>
    <n v="170"/>
    <n v="73"/>
    <n v="2"/>
    <x v="0"/>
    <x v="13"/>
    <x v="3"/>
  </r>
  <r>
    <x v="362"/>
    <n v="59"/>
    <n v="10"/>
    <n v="2"/>
    <x v="2"/>
    <x v="7"/>
    <x v="0"/>
  </r>
  <r>
    <x v="276"/>
    <n v="24"/>
    <n v="-21"/>
    <n v="7"/>
    <x v="2"/>
    <x v="9"/>
    <x v="0"/>
  </r>
  <r>
    <x v="33"/>
    <n v="105"/>
    <n v="-26"/>
    <n v="8"/>
    <x v="2"/>
    <x v="12"/>
    <x v="2"/>
  </r>
  <r>
    <x v="211"/>
    <n v="103"/>
    <n v="46"/>
    <n v="2"/>
    <x v="2"/>
    <x v="6"/>
    <x v="2"/>
  </r>
  <r>
    <x v="404"/>
    <n v="171"/>
    <n v="17"/>
    <n v="6"/>
    <x v="2"/>
    <x v="14"/>
    <x v="3"/>
  </r>
  <r>
    <x v="147"/>
    <n v="102"/>
    <n v="13"/>
    <n v="2"/>
    <x v="2"/>
    <x v="11"/>
    <x v="2"/>
  </r>
  <r>
    <x v="139"/>
    <n v="98"/>
    <n v="12"/>
    <n v="2"/>
    <x v="2"/>
    <x v="7"/>
    <x v="2"/>
  </r>
  <r>
    <x v="291"/>
    <n v="59"/>
    <n v="10"/>
    <n v="4"/>
    <x v="2"/>
    <x v="12"/>
    <x v="0"/>
  </r>
  <r>
    <x v="296"/>
    <n v="189"/>
    <n v="60"/>
    <n v="4"/>
    <x v="1"/>
    <x v="15"/>
    <x v="4"/>
  </r>
  <r>
    <x v="405"/>
    <n v="58"/>
    <n v="-52"/>
    <n v="3"/>
    <x v="1"/>
    <x v="1"/>
    <x v="0"/>
  </r>
  <r>
    <x v="95"/>
    <n v="60"/>
    <n v="3"/>
    <n v="3"/>
    <x v="2"/>
    <x v="6"/>
    <x v="3"/>
  </r>
  <r>
    <x v="406"/>
    <n v="58"/>
    <n v="-8"/>
    <n v="2"/>
    <x v="2"/>
    <x v="6"/>
    <x v="0"/>
  </r>
  <r>
    <x v="166"/>
    <n v="94"/>
    <n v="20"/>
    <n v="2"/>
    <x v="1"/>
    <x v="15"/>
    <x v="3"/>
  </r>
  <r>
    <x v="117"/>
    <n v="193"/>
    <n v="-166"/>
    <n v="3"/>
    <x v="2"/>
    <x v="6"/>
    <x v="1"/>
  </r>
  <r>
    <x v="203"/>
    <n v="199"/>
    <n v="0"/>
    <n v="4"/>
    <x v="2"/>
    <x v="11"/>
    <x v="1"/>
  </r>
  <r>
    <x v="133"/>
    <n v="202"/>
    <n v="89"/>
    <n v="9"/>
    <x v="2"/>
    <x v="14"/>
    <x v="1"/>
  </r>
  <r>
    <x v="133"/>
    <n v="58"/>
    <n v="17"/>
    <n v="2"/>
    <x v="2"/>
    <x v="7"/>
    <x v="0"/>
  </r>
  <r>
    <x v="407"/>
    <n v="57"/>
    <n v="-28"/>
    <n v="2"/>
    <x v="2"/>
    <x v="8"/>
    <x v="0"/>
  </r>
  <r>
    <x v="103"/>
    <n v="204"/>
    <n v="-94"/>
    <n v="4"/>
    <x v="2"/>
    <x v="7"/>
    <x v="1"/>
  </r>
  <r>
    <x v="408"/>
    <n v="98"/>
    <n v="-12"/>
    <n v="2"/>
    <x v="0"/>
    <x v="0"/>
    <x v="2"/>
  </r>
  <r>
    <x v="110"/>
    <n v="22"/>
    <n v="-12"/>
    <n v="3"/>
    <x v="2"/>
    <x v="11"/>
    <x v="0"/>
  </r>
  <r>
    <x v="83"/>
    <n v="97"/>
    <n v="17"/>
    <n v="2"/>
    <x v="2"/>
    <x v="11"/>
    <x v="2"/>
  </r>
  <r>
    <x v="300"/>
    <n v="57"/>
    <n v="24"/>
    <n v="5"/>
    <x v="2"/>
    <x v="12"/>
    <x v="0"/>
  </r>
  <r>
    <x v="409"/>
    <n v="97"/>
    <n v="14"/>
    <n v="2"/>
    <x v="2"/>
    <x v="14"/>
    <x v="2"/>
  </r>
  <r>
    <x v="171"/>
    <n v="97"/>
    <n v="17"/>
    <n v="2"/>
    <x v="2"/>
    <x v="11"/>
    <x v="2"/>
  </r>
  <r>
    <x v="91"/>
    <n v="96"/>
    <n v="22"/>
    <n v="5"/>
    <x v="2"/>
    <x v="11"/>
    <x v="2"/>
  </r>
  <r>
    <x v="114"/>
    <n v="94"/>
    <n v="27"/>
    <n v="2"/>
    <x v="2"/>
    <x v="16"/>
    <x v="2"/>
  </r>
  <r>
    <x v="260"/>
    <n v="26"/>
    <n v="-17"/>
    <n v="1"/>
    <x v="2"/>
    <x v="11"/>
    <x v="0"/>
  </r>
  <r>
    <x v="410"/>
    <n v="93"/>
    <n v="44"/>
    <n v="2"/>
    <x v="2"/>
    <x v="11"/>
    <x v="2"/>
  </r>
  <r>
    <x v="29"/>
    <n v="93"/>
    <n v="-65"/>
    <n v="4"/>
    <x v="2"/>
    <x v="11"/>
    <x v="2"/>
  </r>
  <r>
    <x v="222"/>
    <n v="92"/>
    <n v="5"/>
    <n v="6"/>
    <x v="2"/>
    <x v="7"/>
    <x v="2"/>
  </r>
  <r>
    <x v="9"/>
    <n v="57"/>
    <n v="27"/>
    <n v="2"/>
    <x v="2"/>
    <x v="14"/>
    <x v="0"/>
  </r>
  <r>
    <x v="138"/>
    <n v="57"/>
    <n v="7"/>
    <n v="3"/>
    <x v="1"/>
    <x v="15"/>
    <x v="0"/>
  </r>
  <r>
    <x v="411"/>
    <n v="57"/>
    <n v="21"/>
    <n v="4"/>
    <x v="2"/>
    <x v="12"/>
    <x v="0"/>
  </r>
  <r>
    <x v="239"/>
    <n v="128"/>
    <n v="4"/>
    <n v="3"/>
    <x v="2"/>
    <x v="6"/>
    <x v="0"/>
  </r>
  <r>
    <x v="37"/>
    <n v="89"/>
    <n v="-4"/>
    <n v="5"/>
    <x v="2"/>
    <x v="6"/>
    <x v="2"/>
  </r>
  <r>
    <x v="132"/>
    <n v="221"/>
    <n v="26"/>
    <n v="7"/>
    <x v="1"/>
    <x v="15"/>
    <x v="0"/>
  </r>
  <r>
    <x v="240"/>
    <n v="205"/>
    <n v="-119"/>
    <n v="3"/>
    <x v="2"/>
    <x v="6"/>
    <x v="4"/>
  </r>
  <r>
    <x v="308"/>
    <n v="191"/>
    <n v="51"/>
    <n v="5"/>
    <x v="2"/>
    <x v="16"/>
    <x v="3"/>
  </r>
  <r>
    <x v="179"/>
    <n v="206"/>
    <n v="18"/>
    <n v="4"/>
    <x v="2"/>
    <x v="7"/>
    <x v="4"/>
  </r>
  <r>
    <x v="192"/>
    <n v="56"/>
    <n v="0"/>
    <n v="4"/>
    <x v="2"/>
    <x v="7"/>
    <x v="0"/>
  </r>
  <r>
    <x v="202"/>
    <n v="88"/>
    <n v="16"/>
    <n v="4"/>
    <x v="2"/>
    <x v="11"/>
    <x v="2"/>
  </r>
  <r>
    <x v="294"/>
    <n v="224"/>
    <n v="58"/>
    <n v="3"/>
    <x v="0"/>
    <x v="4"/>
    <x v="3"/>
  </r>
  <r>
    <x v="412"/>
    <n v="193"/>
    <n v="8"/>
    <n v="4"/>
    <x v="2"/>
    <x v="14"/>
    <x v="3"/>
  </r>
  <r>
    <x v="101"/>
    <n v="87"/>
    <n v="36"/>
    <n v="5"/>
    <x v="2"/>
    <x v="11"/>
    <x v="2"/>
  </r>
  <r>
    <x v="141"/>
    <n v="189"/>
    <n v="4"/>
    <n v="1"/>
    <x v="2"/>
    <x v="6"/>
    <x v="3"/>
  </r>
  <r>
    <x v="195"/>
    <n v="55"/>
    <n v="-33"/>
    <n v="2"/>
    <x v="1"/>
    <x v="1"/>
    <x v="0"/>
  </r>
  <r>
    <x v="413"/>
    <n v="85"/>
    <n v="-1"/>
    <n v="3"/>
    <x v="2"/>
    <x v="6"/>
    <x v="2"/>
  </r>
  <r>
    <x v="125"/>
    <n v="252"/>
    <n v="56"/>
    <n v="2"/>
    <x v="0"/>
    <x v="4"/>
    <x v="3"/>
  </r>
  <r>
    <x v="139"/>
    <n v="197"/>
    <n v="73"/>
    <n v="1"/>
    <x v="1"/>
    <x v="2"/>
    <x v="0"/>
  </r>
  <r>
    <x v="10"/>
    <n v="17"/>
    <n v="-3"/>
    <n v="2"/>
    <x v="2"/>
    <x v="11"/>
    <x v="3"/>
  </r>
  <r>
    <x v="414"/>
    <n v="100"/>
    <n v="28"/>
    <n v="2"/>
    <x v="2"/>
    <x v="7"/>
    <x v="3"/>
  </r>
  <r>
    <x v="40"/>
    <n v="80"/>
    <n v="-19"/>
    <n v="5"/>
    <x v="2"/>
    <x v="11"/>
    <x v="3"/>
  </r>
  <r>
    <x v="137"/>
    <n v="75"/>
    <n v="29"/>
    <n v="1"/>
    <x v="2"/>
    <x v="5"/>
    <x v="3"/>
  </r>
  <r>
    <x v="40"/>
    <n v="26"/>
    <n v="4"/>
    <n v="2"/>
    <x v="2"/>
    <x v="6"/>
    <x v="3"/>
  </r>
  <r>
    <x v="415"/>
    <n v="55"/>
    <n v="12"/>
    <n v="5"/>
    <x v="2"/>
    <x v="9"/>
    <x v="0"/>
  </r>
  <r>
    <x v="292"/>
    <n v="157"/>
    <n v="5"/>
    <n v="9"/>
    <x v="2"/>
    <x v="6"/>
    <x v="3"/>
  </r>
  <r>
    <x v="89"/>
    <n v="200"/>
    <n v="-60"/>
    <n v="4"/>
    <x v="1"/>
    <x v="2"/>
    <x v="3"/>
  </r>
  <r>
    <x v="191"/>
    <n v="230"/>
    <n v="5"/>
    <n v="2"/>
    <x v="2"/>
    <x v="6"/>
    <x v="3"/>
  </r>
  <r>
    <x v="179"/>
    <n v="213"/>
    <n v="-145"/>
    <n v="3"/>
    <x v="1"/>
    <x v="2"/>
    <x v="4"/>
  </r>
  <r>
    <x v="161"/>
    <n v="55"/>
    <n v="4"/>
    <n v="2"/>
    <x v="2"/>
    <x v="11"/>
    <x v="0"/>
  </r>
  <r>
    <x v="416"/>
    <n v="220"/>
    <n v="-19"/>
    <n v="2"/>
    <x v="2"/>
    <x v="6"/>
    <x v="4"/>
  </r>
  <r>
    <x v="46"/>
    <n v="150"/>
    <n v="32"/>
    <n v="3"/>
    <x v="2"/>
    <x v="7"/>
    <x v="0"/>
  </r>
  <r>
    <x v="105"/>
    <n v="203"/>
    <n v="84"/>
    <n v="2"/>
    <x v="0"/>
    <x v="3"/>
    <x v="3"/>
  </r>
  <r>
    <x v="135"/>
    <n v="93"/>
    <n v="31"/>
    <n v="3"/>
    <x v="0"/>
    <x v="13"/>
    <x v="3"/>
  </r>
  <r>
    <x v="417"/>
    <n v="290"/>
    <n v="35"/>
    <n v="6"/>
    <x v="2"/>
    <x v="7"/>
    <x v="0"/>
  </r>
  <r>
    <x v="237"/>
    <n v="48"/>
    <n v="6"/>
    <n v="1"/>
    <x v="2"/>
    <x v="6"/>
    <x v="0"/>
  </r>
  <r>
    <x v="222"/>
    <n v="221"/>
    <n v="35"/>
    <n v="4"/>
    <x v="0"/>
    <x v="13"/>
    <x v="4"/>
  </r>
  <r>
    <x v="418"/>
    <n v="55"/>
    <n v="18"/>
    <n v="2"/>
    <x v="2"/>
    <x v="8"/>
    <x v="0"/>
  </r>
  <r>
    <x v="87"/>
    <n v="227"/>
    <n v="102"/>
    <n v="8"/>
    <x v="0"/>
    <x v="13"/>
    <x v="4"/>
  </r>
  <r>
    <x v="419"/>
    <n v="55"/>
    <n v="-39"/>
    <n v="4"/>
    <x v="2"/>
    <x v="11"/>
    <x v="0"/>
  </r>
  <r>
    <x v="417"/>
    <n v="207"/>
    <n v="33"/>
    <n v="2"/>
    <x v="0"/>
    <x v="13"/>
    <x v="3"/>
  </r>
  <r>
    <x v="52"/>
    <n v="64"/>
    <n v="6"/>
    <n v="4"/>
    <x v="2"/>
    <x v="6"/>
    <x v="0"/>
  </r>
  <r>
    <x v="203"/>
    <n v="89"/>
    <n v="6"/>
    <n v="5"/>
    <x v="2"/>
    <x v="6"/>
    <x v="0"/>
  </r>
  <r>
    <x v="21"/>
    <n v="54"/>
    <n v="27"/>
    <n v="2"/>
    <x v="2"/>
    <x v="11"/>
    <x v="0"/>
  </r>
  <r>
    <x v="109"/>
    <n v="84"/>
    <n v="41"/>
    <n v="3"/>
    <x v="2"/>
    <x v="14"/>
    <x v="2"/>
  </r>
  <r>
    <x v="257"/>
    <n v="209"/>
    <n v="-21"/>
    <n v="2"/>
    <x v="0"/>
    <x v="0"/>
    <x v="3"/>
  </r>
  <r>
    <x v="168"/>
    <n v="79"/>
    <n v="33"/>
    <n v="4"/>
    <x v="2"/>
    <x v="11"/>
    <x v="3"/>
  </r>
  <r>
    <x v="420"/>
    <n v="54"/>
    <n v="8"/>
    <n v="4"/>
    <x v="2"/>
    <x v="14"/>
    <x v="0"/>
  </r>
  <r>
    <x v="64"/>
    <n v="229"/>
    <n v="59"/>
    <n v="9"/>
    <x v="2"/>
    <x v="6"/>
    <x v="4"/>
  </r>
  <r>
    <x v="346"/>
    <n v="158"/>
    <n v="38"/>
    <n v="3"/>
    <x v="2"/>
    <x v="7"/>
    <x v="3"/>
  </r>
  <r>
    <x v="147"/>
    <n v="248"/>
    <n v="105"/>
    <n v="2"/>
    <x v="0"/>
    <x v="4"/>
    <x v="4"/>
  </r>
  <r>
    <x v="18"/>
    <n v="199"/>
    <n v="6"/>
    <n v="2"/>
    <x v="2"/>
    <x v="6"/>
    <x v="3"/>
  </r>
  <r>
    <x v="12"/>
    <n v="253"/>
    <n v="-11"/>
    <n v="1"/>
    <x v="2"/>
    <x v="5"/>
    <x v="4"/>
  </r>
  <r>
    <x v="275"/>
    <n v="257"/>
    <n v="-252"/>
    <n v="4"/>
    <x v="2"/>
    <x v="6"/>
    <x v="4"/>
  </r>
  <r>
    <x v="421"/>
    <n v="193"/>
    <n v="33"/>
    <n v="5"/>
    <x v="0"/>
    <x v="13"/>
    <x v="0"/>
  </r>
  <r>
    <x v="422"/>
    <n v="109"/>
    <n v="35"/>
    <n v="6"/>
    <x v="2"/>
    <x v="14"/>
    <x v="0"/>
  </r>
  <r>
    <x v="209"/>
    <n v="214"/>
    <n v="30"/>
    <n v="3"/>
    <x v="0"/>
    <x v="13"/>
    <x v="0"/>
  </r>
  <r>
    <x v="269"/>
    <n v="141"/>
    <n v="7"/>
    <n v="7"/>
    <x v="2"/>
    <x v="6"/>
    <x v="0"/>
  </r>
  <r>
    <x v="132"/>
    <n v="201"/>
    <n v="32"/>
    <n v="4"/>
    <x v="1"/>
    <x v="15"/>
    <x v="3"/>
  </r>
  <r>
    <x v="137"/>
    <n v="54"/>
    <n v="12"/>
    <n v="4"/>
    <x v="2"/>
    <x v="16"/>
    <x v="0"/>
  </r>
  <r>
    <x v="11"/>
    <n v="83"/>
    <n v="6"/>
    <n v="6"/>
    <x v="2"/>
    <x v="16"/>
    <x v="1"/>
  </r>
  <r>
    <x v="173"/>
    <n v="54"/>
    <n v="-3"/>
    <n v="3"/>
    <x v="2"/>
    <x v="6"/>
    <x v="0"/>
  </r>
  <r>
    <x v="85"/>
    <n v="53"/>
    <n v="5"/>
    <n v="3"/>
    <x v="2"/>
    <x v="14"/>
    <x v="0"/>
  </r>
  <r>
    <x v="214"/>
    <n v="258"/>
    <n v="-27"/>
    <n v="2"/>
    <x v="0"/>
    <x v="4"/>
    <x v="4"/>
  </r>
  <r>
    <x v="423"/>
    <n v="199"/>
    <n v="8"/>
    <n v="2"/>
    <x v="2"/>
    <x v="6"/>
    <x v="0"/>
  </r>
  <r>
    <x v="268"/>
    <n v="82"/>
    <n v="-27"/>
    <n v="3"/>
    <x v="2"/>
    <x v="8"/>
    <x v="1"/>
  </r>
  <r>
    <x v="241"/>
    <n v="139"/>
    <n v="36"/>
    <n v="3"/>
    <x v="2"/>
    <x v="11"/>
    <x v="0"/>
  </r>
  <r>
    <x v="74"/>
    <n v="53"/>
    <n v="15"/>
    <n v="2"/>
    <x v="2"/>
    <x v="11"/>
    <x v="0"/>
  </r>
  <r>
    <x v="304"/>
    <n v="53"/>
    <n v="1"/>
    <n v="4"/>
    <x v="2"/>
    <x v="11"/>
    <x v="0"/>
  </r>
  <r>
    <x v="424"/>
    <n v="101"/>
    <n v="38"/>
    <n v="2"/>
    <x v="1"/>
    <x v="15"/>
    <x v="0"/>
  </r>
  <r>
    <x v="29"/>
    <n v="262"/>
    <n v="215"/>
    <n v="2"/>
    <x v="0"/>
    <x v="3"/>
    <x v="4"/>
  </r>
  <r>
    <x v="82"/>
    <n v="82"/>
    <n v="-39"/>
    <n v="5"/>
    <x v="2"/>
    <x v="14"/>
    <x v="1"/>
  </r>
  <r>
    <x v="327"/>
    <n v="154"/>
    <n v="39"/>
    <n v="3"/>
    <x v="2"/>
    <x v="7"/>
    <x v="0"/>
  </r>
  <r>
    <x v="425"/>
    <n v="52"/>
    <n v="18"/>
    <n v="2"/>
    <x v="2"/>
    <x v="11"/>
    <x v="0"/>
  </r>
  <r>
    <x v="353"/>
    <n v="1599"/>
    <n v="37"/>
    <n v="6"/>
    <x v="0"/>
    <x v="0"/>
    <x v="3"/>
  </r>
  <r>
    <x v="223"/>
    <n v="338"/>
    <n v="41"/>
    <n v="7"/>
    <x v="2"/>
    <x v="7"/>
    <x v="3"/>
  </r>
  <r>
    <x v="260"/>
    <n v="51"/>
    <n v="-49"/>
    <n v="2"/>
    <x v="0"/>
    <x v="0"/>
    <x v="0"/>
  </r>
  <r>
    <x v="258"/>
    <n v="224"/>
    <n v="-81"/>
    <n v="3"/>
    <x v="1"/>
    <x v="1"/>
    <x v="0"/>
  </r>
  <r>
    <x v="426"/>
    <n v="207"/>
    <n v="37"/>
    <n v="4"/>
    <x v="2"/>
    <x v="7"/>
    <x v="0"/>
  </r>
  <r>
    <x v="427"/>
    <n v="51"/>
    <n v="14"/>
    <n v="2"/>
    <x v="2"/>
    <x v="11"/>
    <x v="0"/>
  </r>
  <r>
    <x v="98"/>
    <n v="82"/>
    <n v="8"/>
    <n v="3"/>
    <x v="0"/>
    <x v="13"/>
    <x v="1"/>
  </r>
  <r>
    <x v="106"/>
    <n v="50"/>
    <n v="-17"/>
    <n v="2"/>
    <x v="2"/>
    <x v="11"/>
    <x v="0"/>
  </r>
  <r>
    <x v="14"/>
    <n v="263"/>
    <n v="-31"/>
    <n v="9"/>
    <x v="0"/>
    <x v="0"/>
    <x v="4"/>
  </r>
  <r>
    <x v="209"/>
    <n v="50"/>
    <n v="7"/>
    <n v="6"/>
    <x v="2"/>
    <x v="9"/>
    <x v="0"/>
  </r>
  <r>
    <x v="368"/>
    <n v="245"/>
    <n v="-3"/>
    <n v="4"/>
    <x v="0"/>
    <x v="4"/>
    <x v="3"/>
  </r>
  <r>
    <x v="125"/>
    <n v="82"/>
    <n v="24"/>
    <n v="6"/>
    <x v="2"/>
    <x v="7"/>
    <x v="1"/>
  </r>
  <r>
    <x v="112"/>
    <n v="229"/>
    <n v="-41"/>
    <n v="8"/>
    <x v="0"/>
    <x v="13"/>
    <x v="0"/>
  </r>
  <r>
    <x v="147"/>
    <n v="50"/>
    <n v="14"/>
    <n v="1"/>
    <x v="0"/>
    <x v="0"/>
    <x v="0"/>
  </r>
  <r>
    <x v="179"/>
    <n v="220"/>
    <n v="40"/>
    <n v="2"/>
    <x v="0"/>
    <x v="13"/>
    <x v="0"/>
  </r>
  <r>
    <x v="8"/>
    <n v="263"/>
    <n v="-63"/>
    <n v="2"/>
    <x v="0"/>
    <x v="0"/>
    <x v="4"/>
  </r>
  <r>
    <x v="3"/>
    <n v="81"/>
    <n v="-41"/>
    <n v="5"/>
    <x v="2"/>
    <x v="12"/>
    <x v="1"/>
  </r>
  <r>
    <x v="428"/>
    <n v="50"/>
    <n v="-17"/>
    <n v="2"/>
    <x v="2"/>
    <x v="11"/>
    <x v="0"/>
  </r>
  <r>
    <x v="3"/>
    <n v="49"/>
    <n v="5"/>
    <n v="4"/>
    <x v="2"/>
    <x v="7"/>
    <x v="0"/>
  </r>
  <r>
    <x v="9"/>
    <n v="237"/>
    <n v="47"/>
    <n v="9"/>
    <x v="2"/>
    <x v="14"/>
    <x v="3"/>
  </r>
  <r>
    <x v="429"/>
    <n v="264"/>
    <n v="-30"/>
    <n v="3"/>
    <x v="1"/>
    <x v="15"/>
    <x v="4"/>
  </r>
  <r>
    <x v="89"/>
    <n v="49"/>
    <n v="3"/>
    <n v="1"/>
    <x v="2"/>
    <x v="16"/>
    <x v="0"/>
  </r>
  <r>
    <x v="275"/>
    <n v="63"/>
    <n v="-24"/>
    <n v="6"/>
    <x v="2"/>
    <x v="8"/>
    <x v="0"/>
  </r>
  <r>
    <x v="120"/>
    <n v="81"/>
    <n v="-51"/>
    <n v="7"/>
    <x v="2"/>
    <x v="11"/>
    <x v="1"/>
  </r>
  <r>
    <x v="130"/>
    <n v="264"/>
    <n v="71"/>
    <n v="10"/>
    <x v="1"/>
    <x v="15"/>
    <x v="4"/>
  </r>
  <r>
    <x v="296"/>
    <n v="48"/>
    <n v="11"/>
    <n v="2"/>
    <x v="2"/>
    <x v="16"/>
    <x v="0"/>
  </r>
  <r>
    <x v="289"/>
    <n v="48"/>
    <n v="15"/>
    <n v="1"/>
    <x v="2"/>
    <x v="7"/>
    <x v="0"/>
  </r>
  <r>
    <x v="104"/>
    <n v="245"/>
    <n v="-78"/>
    <n v="2"/>
    <x v="0"/>
    <x v="3"/>
    <x v="3"/>
  </r>
  <r>
    <x v="33"/>
    <n v="146"/>
    <n v="42"/>
    <n v="5"/>
    <x v="2"/>
    <x v="7"/>
    <x v="3"/>
  </r>
  <r>
    <x v="95"/>
    <n v="245"/>
    <n v="10"/>
    <n v="2"/>
    <x v="1"/>
    <x v="2"/>
    <x v="0"/>
  </r>
  <r>
    <x v="232"/>
    <n v="245"/>
    <n v="91"/>
    <n v="2"/>
    <x v="1"/>
    <x v="2"/>
    <x v="3"/>
  </r>
  <r>
    <x v="363"/>
    <n v="80"/>
    <n v="3"/>
    <n v="3"/>
    <x v="2"/>
    <x v="11"/>
    <x v="1"/>
  </r>
  <r>
    <x v="164"/>
    <n v="269"/>
    <n v="33"/>
    <n v="5"/>
    <x v="1"/>
    <x v="1"/>
    <x v="4"/>
  </r>
  <r>
    <x v="430"/>
    <n v="80"/>
    <n v="22"/>
    <n v="3"/>
    <x v="2"/>
    <x v="11"/>
    <x v="1"/>
  </r>
  <r>
    <x v="198"/>
    <n v="284"/>
    <n v="44"/>
    <n v="6"/>
    <x v="2"/>
    <x v="7"/>
    <x v="0"/>
  </r>
  <r>
    <x v="431"/>
    <n v="313"/>
    <n v="44"/>
    <n v="3"/>
    <x v="0"/>
    <x v="0"/>
    <x v="0"/>
  </r>
  <r>
    <x v="432"/>
    <n v="80"/>
    <n v="-26"/>
    <n v="9"/>
    <x v="2"/>
    <x v="9"/>
    <x v="1"/>
  </r>
  <r>
    <x v="433"/>
    <n v="48"/>
    <n v="-8"/>
    <n v="8"/>
    <x v="2"/>
    <x v="11"/>
    <x v="0"/>
  </r>
  <r>
    <x v="434"/>
    <n v="87"/>
    <n v="16"/>
    <n v="2"/>
    <x v="2"/>
    <x v="6"/>
    <x v="3"/>
  </r>
  <r>
    <x v="256"/>
    <n v="47"/>
    <n v="-114"/>
    <n v="5"/>
    <x v="1"/>
    <x v="15"/>
    <x v="0"/>
  </r>
  <r>
    <x v="362"/>
    <n v="140"/>
    <n v="28"/>
    <n v="2"/>
    <x v="0"/>
    <x v="4"/>
    <x v="0"/>
  </r>
  <r>
    <x v="141"/>
    <n v="47"/>
    <n v="1"/>
    <n v="2"/>
    <x v="2"/>
    <x v="11"/>
    <x v="0"/>
  </r>
  <r>
    <x v="159"/>
    <n v="79"/>
    <n v="-2"/>
    <n v="2"/>
    <x v="1"/>
    <x v="15"/>
    <x v="1"/>
  </r>
  <r>
    <x v="131"/>
    <n v="78"/>
    <n v="-64"/>
    <n v="7"/>
    <x v="2"/>
    <x v="11"/>
    <x v="1"/>
  </r>
  <r>
    <x v="176"/>
    <n v="47"/>
    <n v="-3"/>
    <n v="2"/>
    <x v="2"/>
    <x v="11"/>
    <x v="0"/>
  </r>
  <r>
    <x v="297"/>
    <n v="185"/>
    <n v="48"/>
    <n v="4"/>
    <x v="2"/>
    <x v="11"/>
    <x v="3"/>
  </r>
  <r>
    <x v="172"/>
    <n v="77"/>
    <n v="36"/>
    <n v="2"/>
    <x v="2"/>
    <x v="16"/>
    <x v="1"/>
  </r>
  <r>
    <x v="435"/>
    <n v="259"/>
    <n v="47"/>
    <n v="5"/>
    <x v="2"/>
    <x v="7"/>
    <x v="3"/>
  </r>
  <r>
    <x v="436"/>
    <n v="75"/>
    <n v="0"/>
    <n v="7"/>
    <x v="2"/>
    <x v="6"/>
    <x v="1"/>
  </r>
  <r>
    <x v="437"/>
    <n v="75"/>
    <n v="0"/>
    <n v="3"/>
    <x v="2"/>
    <x v="16"/>
    <x v="1"/>
  </r>
  <r>
    <x v="161"/>
    <n v="46"/>
    <n v="0"/>
    <n v="4"/>
    <x v="2"/>
    <x v="12"/>
    <x v="0"/>
  </r>
  <r>
    <x v="162"/>
    <n v="46"/>
    <n v="13"/>
    <n v="3"/>
    <x v="2"/>
    <x v="7"/>
    <x v="0"/>
  </r>
  <r>
    <x v="2"/>
    <n v="200"/>
    <n v="13"/>
    <n v="5"/>
    <x v="0"/>
    <x v="4"/>
    <x v="0"/>
  </r>
  <r>
    <x v="438"/>
    <n v="46"/>
    <n v="-14"/>
    <n v="1"/>
    <x v="0"/>
    <x v="4"/>
    <x v="0"/>
  </r>
  <r>
    <x v="439"/>
    <n v="126"/>
    <n v="52"/>
    <n v="4"/>
    <x v="2"/>
    <x v="7"/>
    <x v="3"/>
  </r>
  <r>
    <x v="237"/>
    <n v="74"/>
    <n v="29"/>
    <n v="3"/>
    <x v="2"/>
    <x v="11"/>
    <x v="1"/>
  </r>
  <r>
    <x v="204"/>
    <n v="45"/>
    <n v="13"/>
    <n v="4"/>
    <x v="2"/>
    <x v="9"/>
    <x v="0"/>
  </r>
  <r>
    <x v="180"/>
    <n v="74"/>
    <n v="9"/>
    <n v="3"/>
    <x v="2"/>
    <x v="16"/>
    <x v="3"/>
  </r>
  <r>
    <x v="260"/>
    <n v="129"/>
    <n v="11"/>
    <n v="2"/>
    <x v="0"/>
    <x v="4"/>
    <x v="3"/>
  </r>
  <r>
    <x v="297"/>
    <n v="122"/>
    <n v="50"/>
    <n v="7"/>
    <x v="2"/>
    <x v="11"/>
    <x v="3"/>
  </r>
  <r>
    <x v="192"/>
    <n v="74"/>
    <n v="-51"/>
    <n v="3"/>
    <x v="2"/>
    <x v="11"/>
    <x v="3"/>
  </r>
  <r>
    <x v="229"/>
    <n v="278"/>
    <n v="39"/>
    <n v="5"/>
    <x v="1"/>
    <x v="1"/>
    <x v="4"/>
  </r>
  <r>
    <x v="440"/>
    <n v="282"/>
    <n v="14"/>
    <n v="4"/>
    <x v="2"/>
    <x v="5"/>
    <x v="4"/>
  </r>
  <r>
    <x v="134"/>
    <n v="45"/>
    <n v="0"/>
    <n v="2"/>
    <x v="2"/>
    <x v="14"/>
    <x v="0"/>
  </r>
  <r>
    <x v="51"/>
    <n v="45"/>
    <n v="6"/>
    <n v="3"/>
    <x v="2"/>
    <x v="16"/>
    <x v="0"/>
  </r>
  <r>
    <x v="392"/>
    <n v="45"/>
    <n v="16"/>
    <n v="3"/>
    <x v="2"/>
    <x v="11"/>
    <x v="0"/>
  </r>
  <r>
    <x v="441"/>
    <n v="73"/>
    <n v="-36"/>
    <n v="3"/>
    <x v="1"/>
    <x v="1"/>
    <x v="3"/>
  </r>
  <r>
    <x v="83"/>
    <n v="45"/>
    <n v="12"/>
    <n v="4"/>
    <x v="2"/>
    <x v="7"/>
    <x v="0"/>
  </r>
  <r>
    <x v="312"/>
    <n v="72"/>
    <n v="-6"/>
    <n v="3"/>
    <x v="2"/>
    <x v="6"/>
    <x v="3"/>
  </r>
  <r>
    <x v="371"/>
    <n v="71"/>
    <n v="-44"/>
    <n v="5"/>
    <x v="0"/>
    <x v="13"/>
    <x v="3"/>
  </r>
  <r>
    <x v="429"/>
    <n v="45"/>
    <n v="-2"/>
    <n v="4"/>
    <x v="2"/>
    <x v="16"/>
    <x v="0"/>
  </r>
  <r>
    <x v="141"/>
    <n v="286"/>
    <n v="140"/>
    <n v="6"/>
    <x v="2"/>
    <x v="16"/>
    <x v="4"/>
  </r>
  <r>
    <x v="442"/>
    <n v="294"/>
    <n v="138"/>
    <n v="2"/>
    <x v="0"/>
    <x v="3"/>
    <x v="4"/>
  </r>
  <r>
    <x v="127"/>
    <n v="223"/>
    <n v="4"/>
    <n v="3"/>
    <x v="0"/>
    <x v="4"/>
    <x v="0"/>
  </r>
  <r>
    <x v="443"/>
    <n v="20"/>
    <n v="-2"/>
    <n v="1"/>
    <x v="0"/>
    <x v="13"/>
    <x v="3"/>
  </r>
  <r>
    <x v="243"/>
    <n v="302"/>
    <n v="75"/>
    <n v="6"/>
    <x v="1"/>
    <x v="15"/>
    <x v="4"/>
  </r>
  <r>
    <x v="269"/>
    <n v="113"/>
    <n v="28"/>
    <n v="2"/>
    <x v="2"/>
    <x v="6"/>
    <x v="3"/>
  </r>
  <r>
    <x v="101"/>
    <n v="44"/>
    <n v="2"/>
    <n v="3"/>
    <x v="2"/>
    <x v="7"/>
    <x v="0"/>
  </r>
  <r>
    <x v="444"/>
    <n v="305"/>
    <n v="-270"/>
    <n v="5"/>
    <x v="0"/>
    <x v="0"/>
    <x v="4"/>
  </r>
  <r>
    <x v="437"/>
    <n v="306"/>
    <n v="-147"/>
    <n v="3"/>
    <x v="2"/>
    <x v="6"/>
    <x v="4"/>
  </r>
  <r>
    <x v="240"/>
    <n v="70"/>
    <n v="-64"/>
    <n v="5"/>
    <x v="2"/>
    <x v="11"/>
    <x v="3"/>
  </r>
  <r>
    <x v="249"/>
    <n v="44"/>
    <n v="11"/>
    <n v="4"/>
    <x v="2"/>
    <x v="11"/>
    <x v="0"/>
  </r>
  <r>
    <x v="102"/>
    <n v="44"/>
    <n v="14"/>
    <n v="3"/>
    <x v="2"/>
    <x v="7"/>
    <x v="0"/>
  </r>
  <r>
    <x v="29"/>
    <n v="319"/>
    <n v="312"/>
    <n v="5"/>
    <x v="2"/>
    <x v="6"/>
    <x v="4"/>
  </r>
  <r>
    <x v="217"/>
    <n v="287"/>
    <n v="-280"/>
    <n v="12"/>
    <x v="1"/>
    <x v="1"/>
    <x v="3"/>
  </r>
  <r>
    <x v="296"/>
    <n v="44"/>
    <n v="10"/>
    <n v="3"/>
    <x v="2"/>
    <x v="11"/>
    <x v="0"/>
  </r>
  <r>
    <x v="111"/>
    <n v="288"/>
    <n v="-180"/>
    <n v="4"/>
    <x v="1"/>
    <x v="1"/>
    <x v="0"/>
  </r>
  <r>
    <x v="52"/>
    <n v="49"/>
    <n v="-31"/>
    <n v="2"/>
    <x v="2"/>
    <x v="11"/>
    <x v="0"/>
  </r>
  <r>
    <x v="160"/>
    <n v="43"/>
    <n v="-10"/>
    <n v="4"/>
    <x v="2"/>
    <x v="9"/>
    <x v="0"/>
  </r>
  <r>
    <x v="153"/>
    <n v="43"/>
    <n v="5"/>
    <n v="3"/>
    <x v="2"/>
    <x v="11"/>
    <x v="0"/>
  </r>
  <r>
    <x v="0"/>
    <n v="68"/>
    <n v="-27"/>
    <n v="3"/>
    <x v="0"/>
    <x v="13"/>
    <x v="3"/>
  </r>
  <r>
    <x v="83"/>
    <n v="320"/>
    <n v="144"/>
    <n v="1"/>
    <x v="0"/>
    <x v="3"/>
    <x v="4"/>
  </r>
  <r>
    <x v="99"/>
    <n v="67"/>
    <n v="2"/>
    <n v="4"/>
    <x v="2"/>
    <x v="14"/>
    <x v="3"/>
  </r>
  <r>
    <x v="314"/>
    <n v="66"/>
    <n v="-12"/>
    <n v="5"/>
    <x v="2"/>
    <x v="11"/>
    <x v="3"/>
  </r>
  <r>
    <x v="347"/>
    <n v="321"/>
    <n v="26"/>
    <n v="3"/>
    <x v="0"/>
    <x v="3"/>
    <x v="4"/>
  </r>
  <r>
    <x v="230"/>
    <n v="43"/>
    <n v="-5"/>
    <n v="2"/>
    <x v="2"/>
    <x v="6"/>
    <x v="0"/>
  </r>
  <r>
    <x v="197"/>
    <n v="114"/>
    <n v="-39"/>
    <n v="5"/>
    <x v="2"/>
    <x v="8"/>
    <x v="0"/>
  </r>
  <r>
    <x v="146"/>
    <n v="43"/>
    <n v="17"/>
    <n v="1"/>
    <x v="2"/>
    <x v="6"/>
    <x v="0"/>
  </r>
  <r>
    <x v="230"/>
    <n v="43"/>
    <n v="21"/>
    <n v="3"/>
    <x v="2"/>
    <x v="16"/>
    <x v="0"/>
  </r>
  <r>
    <x v="168"/>
    <n v="637"/>
    <n v="50"/>
    <n v="5"/>
    <x v="2"/>
    <x v="6"/>
    <x v="0"/>
  </r>
  <r>
    <x v="9"/>
    <n v="300"/>
    <n v="42"/>
    <n v="2"/>
    <x v="0"/>
    <x v="3"/>
    <x v="0"/>
  </r>
  <r>
    <x v="445"/>
    <n v="341"/>
    <n v="44"/>
    <n v="7"/>
    <x v="1"/>
    <x v="15"/>
    <x v="3"/>
  </r>
  <r>
    <x v="90"/>
    <n v="102"/>
    <n v="0"/>
    <n v="3"/>
    <x v="0"/>
    <x v="4"/>
    <x v="0"/>
  </r>
  <r>
    <x v="14"/>
    <n v="328"/>
    <n v="-15"/>
    <n v="3"/>
    <x v="0"/>
    <x v="0"/>
    <x v="4"/>
  </r>
  <r>
    <x v="446"/>
    <n v="341"/>
    <n v="160"/>
    <n v="7"/>
    <x v="2"/>
    <x v="11"/>
    <x v="4"/>
  </r>
  <r>
    <x v="447"/>
    <n v="62"/>
    <n v="11"/>
    <n v="7"/>
    <x v="2"/>
    <x v="7"/>
    <x v="3"/>
  </r>
  <r>
    <x v="232"/>
    <n v="42"/>
    <n v="13"/>
    <n v="3"/>
    <x v="2"/>
    <x v="12"/>
    <x v="0"/>
  </r>
  <r>
    <x v="297"/>
    <n v="62"/>
    <n v="28"/>
    <n v="5"/>
    <x v="2"/>
    <x v="7"/>
    <x v="3"/>
  </r>
  <r>
    <x v="159"/>
    <n v="42"/>
    <n v="7"/>
    <n v="2"/>
    <x v="2"/>
    <x v="8"/>
    <x v="0"/>
  </r>
  <r>
    <x v="448"/>
    <n v="42"/>
    <n v="-3"/>
    <n v="1"/>
    <x v="0"/>
    <x v="0"/>
    <x v="0"/>
  </r>
  <r>
    <x v="388"/>
    <n v="313"/>
    <n v="-13"/>
    <n v="5"/>
    <x v="1"/>
    <x v="2"/>
    <x v="3"/>
  </r>
  <r>
    <x v="76"/>
    <n v="109"/>
    <n v="52"/>
    <n v="2"/>
    <x v="2"/>
    <x v="11"/>
    <x v="3"/>
  </r>
  <r>
    <x v="12"/>
    <n v="226"/>
    <n v="58"/>
    <n v="3"/>
    <x v="0"/>
    <x v="13"/>
    <x v="0"/>
  </r>
  <r>
    <x v="54"/>
    <n v="62"/>
    <n v="-1"/>
    <n v="1"/>
    <x v="0"/>
    <x v="4"/>
    <x v="3"/>
  </r>
  <r>
    <x v="67"/>
    <n v="61"/>
    <n v="-25"/>
    <n v="4"/>
    <x v="0"/>
    <x v="13"/>
    <x v="3"/>
  </r>
  <r>
    <x v="260"/>
    <n v="222"/>
    <n v="74"/>
    <n v="5"/>
    <x v="2"/>
    <x v="7"/>
    <x v="0"/>
  </r>
  <r>
    <x v="202"/>
    <n v="342"/>
    <n v="-154"/>
    <n v="7"/>
    <x v="1"/>
    <x v="15"/>
    <x v="4"/>
  </r>
  <r>
    <x v="70"/>
    <n v="344"/>
    <n v="-34"/>
    <n v="3"/>
    <x v="2"/>
    <x v="6"/>
    <x v="4"/>
  </r>
  <r>
    <x v="449"/>
    <n v="345"/>
    <n v="38"/>
    <n v="7"/>
    <x v="2"/>
    <x v="7"/>
    <x v="4"/>
  </r>
  <r>
    <x v="450"/>
    <n v="46"/>
    <n v="0"/>
    <n v="2"/>
    <x v="0"/>
    <x v="0"/>
    <x v="0"/>
  </r>
  <r>
    <x v="209"/>
    <n v="255"/>
    <n v="74"/>
    <n v="5"/>
    <x v="2"/>
    <x v="7"/>
    <x v="0"/>
  </r>
  <r>
    <x v="338"/>
    <n v="360"/>
    <n v="32"/>
    <n v="3"/>
    <x v="2"/>
    <x v="6"/>
    <x v="3"/>
  </r>
  <r>
    <x v="170"/>
    <n v="372"/>
    <n v="59"/>
    <n v="3"/>
    <x v="0"/>
    <x v="3"/>
    <x v="3"/>
  </r>
  <r>
    <x v="139"/>
    <n v="61"/>
    <n v="30"/>
    <n v="2"/>
    <x v="2"/>
    <x v="7"/>
    <x v="3"/>
  </r>
  <r>
    <x v="77"/>
    <n v="42"/>
    <n v="12"/>
    <n v="5"/>
    <x v="2"/>
    <x v="7"/>
    <x v="0"/>
  </r>
  <r>
    <x v="197"/>
    <n v="42"/>
    <n v="-26"/>
    <n v="2"/>
    <x v="2"/>
    <x v="8"/>
    <x v="0"/>
  </r>
  <r>
    <x v="451"/>
    <n v="61"/>
    <n v="25"/>
    <n v="4"/>
    <x v="2"/>
    <x v="6"/>
    <x v="3"/>
  </r>
  <r>
    <x v="25"/>
    <n v="41"/>
    <n v="11"/>
    <n v="6"/>
    <x v="2"/>
    <x v="7"/>
    <x v="0"/>
  </r>
  <r>
    <x v="133"/>
    <n v="40"/>
    <n v="13"/>
    <n v="3"/>
    <x v="2"/>
    <x v="14"/>
    <x v="0"/>
  </r>
  <r>
    <x v="113"/>
    <n v="59"/>
    <n v="21"/>
    <n v="2"/>
    <x v="2"/>
    <x v="11"/>
    <x v="3"/>
  </r>
  <r>
    <x v="268"/>
    <n v="57"/>
    <n v="27"/>
    <n v="2"/>
    <x v="2"/>
    <x v="16"/>
    <x v="3"/>
  </r>
  <r>
    <x v="7"/>
    <n v="17"/>
    <n v="6"/>
    <n v="1"/>
    <x v="2"/>
    <x v="11"/>
    <x v="3"/>
  </r>
  <r>
    <x v="162"/>
    <n v="40"/>
    <n v="10"/>
    <n v="2"/>
    <x v="2"/>
    <x v="11"/>
    <x v="0"/>
  </r>
  <r>
    <x v="309"/>
    <n v="349"/>
    <n v="-24"/>
    <n v="2"/>
    <x v="2"/>
    <x v="6"/>
    <x v="4"/>
  </r>
  <r>
    <x v="452"/>
    <n v="335"/>
    <n v="-22"/>
    <n v="7"/>
    <x v="1"/>
    <x v="1"/>
    <x v="3"/>
  </r>
  <r>
    <x v="202"/>
    <n v="40"/>
    <n v="16"/>
    <n v="3"/>
    <x v="2"/>
    <x v="7"/>
    <x v="0"/>
  </r>
  <r>
    <x v="53"/>
    <n v="40"/>
    <n v="17"/>
    <n v="2"/>
    <x v="2"/>
    <x v="11"/>
    <x v="0"/>
  </r>
  <r>
    <x v="197"/>
    <n v="40"/>
    <n v="-7"/>
    <n v="3"/>
    <x v="2"/>
    <x v="11"/>
    <x v="0"/>
  </r>
  <r>
    <x v="260"/>
    <n v="352"/>
    <n v="74"/>
    <n v="8"/>
    <x v="2"/>
    <x v="11"/>
    <x v="4"/>
  </r>
  <r>
    <x v="186"/>
    <n v="55"/>
    <n v="-26"/>
    <n v="4"/>
    <x v="2"/>
    <x v="6"/>
    <x v="3"/>
  </r>
  <r>
    <x v="102"/>
    <n v="352"/>
    <n v="18"/>
    <n v="5"/>
    <x v="2"/>
    <x v="5"/>
    <x v="4"/>
  </r>
  <r>
    <x v="36"/>
    <n v="53"/>
    <n v="-18"/>
    <n v="4"/>
    <x v="2"/>
    <x v="14"/>
    <x v="3"/>
  </r>
  <r>
    <x v="429"/>
    <n v="51"/>
    <n v="7"/>
    <n v="2"/>
    <x v="1"/>
    <x v="15"/>
    <x v="3"/>
  </r>
  <r>
    <x v="406"/>
    <n v="40"/>
    <n v="-37"/>
    <n v="3"/>
    <x v="2"/>
    <x v="11"/>
    <x v="0"/>
  </r>
  <r>
    <x v="193"/>
    <n v="39"/>
    <n v="14"/>
    <n v="5"/>
    <x v="2"/>
    <x v="12"/>
    <x v="0"/>
  </r>
  <r>
    <x v="453"/>
    <n v="355"/>
    <n v="-4"/>
    <n v="2"/>
    <x v="2"/>
    <x v="6"/>
    <x v="4"/>
  </r>
  <r>
    <x v="7"/>
    <n v="357"/>
    <n v="139"/>
    <n v="2"/>
    <x v="2"/>
    <x v="6"/>
    <x v="4"/>
  </r>
  <r>
    <x v="117"/>
    <n v="38"/>
    <n v="18"/>
    <n v="1"/>
    <x v="2"/>
    <x v="8"/>
    <x v="0"/>
  </r>
  <r>
    <x v="198"/>
    <n v="38"/>
    <n v="9"/>
    <n v="2"/>
    <x v="2"/>
    <x v="11"/>
    <x v="0"/>
  </r>
  <r>
    <x v="294"/>
    <n v="141"/>
    <n v="10"/>
    <n v="4"/>
    <x v="2"/>
    <x v="16"/>
    <x v="3"/>
  </r>
  <r>
    <x v="392"/>
    <n v="36"/>
    <n v="4"/>
    <n v="9"/>
    <x v="2"/>
    <x v="7"/>
    <x v="0"/>
  </r>
  <r>
    <x v="133"/>
    <n v="351"/>
    <n v="-94"/>
    <n v="5"/>
    <x v="0"/>
    <x v="0"/>
    <x v="0"/>
  </r>
  <r>
    <x v="199"/>
    <n v="369"/>
    <n v="15"/>
    <n v="3"/>
    <x v="0"/>
    <x v="0"/>
    <x v="4"/>
  </r>
  <r>
    <x v="9"/>
    <n v="53"/>
    <n v="24"/>
    <n v="6"/>
    <x v="2"/>
    <x v="7"/>
    <x v="1"/>
  </r>
  <r>
    <x v="454"/>
    <n v="371"/>
    <n v="115"/>
    <n v="1"/>
    <x v="1"/>
    <x v="2"/>
    <x v="4"/>
  </r>
  <r>
    <x v="85"/>
    <n v="499"/>
    <n v="33"/>
    <n v="4"/>
    <x v="2"/>
    <x v="6"/>
    <x v="0"/>
  </r>
  <r>
    <x v="170"/>
    <n v="223"/>
    <n v="62"/>
    <n v="7"/>
    <x v="2"/>
    <x v="16"/>
    <x v="0"/>
  </r>
  <r>
    <x v="191"/>
    <n v="50"/>
    <n v="-4"/>
    <n v="6"/>
    <x v="2"/>
    <x v="14"/>
    <x v="1"/>
  </r>
  <r>
    <x v="179"/>
    <n v="391"/>
    <n v="90"/>
    <n v="6"/>
    <x v="0"/>
    <x v="4"/>
    <x v="4"/>
  </r>
  <r>
    <x v="455"/>
    <n v="416"/>
    <n v="137"/>
    <n v="3"/>
    <x v="0"/>
    <x v="4"/>
    <x v="4"/>
  </r>
  <r>
    <x v="437"/>
    <n v="424"/>
    <n v="-17"/>
    <n v="9"/>
    <x v="1"/>
    <x v="1"/>
    <x v="4"/>
  </r>
  <r>
    <x v="38"/>
    <n v="362"/>
    <n v="127"/>
    <n v="1"/>
    <x v="1"/>
    <x v="2"/>
    <x v="0"/>
  </r>
  <r>
    <x v="8"/>
    <n v="36"/>
    <n v="-7"/>
    <n v="1"/>
    <x v="0"/>
    <x v="0"/>
    <x v="0"/>
  </r>
  <r>
    <x v="177"/>
    <n v="34"/>
    <n v="-10"/>
    <n v="3"/>
    <x v="2"/>
    <x v="9"/>
    <x v="0"/>
  </r>
  <r>
    <x v="154"/>
    <n v="367"/>
    <n v="73"/>
    <n v="3"/>
    <x v="0"/>
    <x v="0"/>
    <x v="3"/>
  </r>
  <r>
    <x v="135"/>
    <n v="425"/>
    <n v="208"/>
    <n v="7"/>
    <x v="2"/>
    <x v="6"/>
    <x v="4"/>
  </r>
  <r>
    <x v="368"/>
    <n v="433"/>
    <n v="26"/>
    <n v="3"/>
    <x v="0"/>
    <x v="3"/>
    <x v="4"/>
  </r>
  <r>
    <x v="454"/>
    <n v="460"/>
    <n v="31"/>
    <n v="3"/>
    <x v="1"/>
    <x v="2"/>
    <x v="4"/>
  </r>
  <r>
    <x v="256"/>
    <n v="62"/>
    <n v="-56"/>
    <n v="5"/>
    <x v="2"/>
    <x v="8"/>
    <x v="0"/>
  </r>
  <r>
    <x v="83"/>
    <n v="50"/>
    <n v="16"/>
    <n v="1"/>
    <x v="2"/>
    <x v="11"/>
    <x v="1"/>
  </r>
  <r>
    <x v="369"/>
    <n v="460"/>
    <n v="-143"/>
    <n v="3"/>
    <x v="1"/>
    <x v="1"/>
    <x v="4"/>
  </r>
  <r>
    <x v="265"/>
    <n v="34"/>
    <n v="3"/>
    <n v="3"/>
    <x v="2"/>
    <x v="6"/>
    <x v="0"/>
  </r>
  <r>
    <x v="259"/>
    <n v="227"/>
    <n v="59"/>
    <n v="2"/>
    <x v="1"/>
    <x v="15"/>
    <x v="3"/>
  </r>
  <r>
    <x v="376"/>
    <n v="469"/>
    <n v="33"/>
    <n v="4"/>
    <x v="0"/>
    <x v="0"/>
    <x v="4"/>
  </r>
  <r>
    <x v="9"/>
    <n v="103"/>
    <n v="46"/>
    <n v="2"/>
    <x v="2"/>
    <x v="6"/>
    <x v="3"/>
  </r>
  <r>
    <x v="247"/>
    <n v="34"/>
    <n v="-13"/>
    <n v="5"/>
    <x v="2"/>
    <x v="12"/>
    <x v="0"/>
  </r>
  <r>
    <x v="142"/>
    <n v="137"/>
    <n v="63"/>
    <n v="3"/>
    <x v="2"/>
    <x v="11"/>
    <x v="0"/>
  </r>
  <r>
    <x v="456"/>
    <n v="34"/>
    <n v="12"/>
    <n v="2"/>
    <x v="2"/>
    <x v="11"/>
    <x v="0"/>
  </r>
  <r>
    <x v="362"/>
    <n v="474"/>
    <n v="56"/>
    <n v="4"/>
    <x v="0"/>
    <x v="4"/>
    <x v="4"/>
  </r>
  <r>
    <x v="239"/>
    <n v="50"/>
    <n v="3"/>
    <n v="2"/>
    <x v="2"/>
    <x v="11"/>
    <x v="1"/>
  </r>
  <r>
    <x v="67"/>
    <n v="69"/>
    <n v="-67"/>
    <n v="4"/>
    <x v="2"/>
    <x v="8"/>
    <x v="3"/>
  </r>
  <r>
    <x v="457"/>
    <n v="389"/>
    <n v="-83"/>
    <n v="3"/>
    <x v="1"/>
    <x v="1"/>
    <x v="3"/>
  </r>
  <r>
    <x v="256"/>
    <n v="77"/>
    <n v="-43"/>
    <n v="8"/>
    <x v="2"/>
    <x v="11"/>
    <x v="0"/>
  </r>
  <r>
    <x v="7"/>
    <n v="51"/>
    <n v="21"/>
    <n v="3"/>
    <x v="2"/>
    <x v="14"/>
    <x v="0"/>
  </r>
  <r>
    <x v="114"/>
    <n v="394"/>
    <n v="146"/>
    <n v="2"/>
    <x v="1"/>
    <x v="2"/>
    <x v="3"/>
  </r>
  <r>
    <x v="252"/>
    <n v="48"/>
    <n v="-22"/>
    <n v="2"/>
    <x v="2"/>
    <x v="6"/>
    <x v="1"/>
  </r>
  <r>
    <x v="177"/>
    <n v="34"/>
    <n v="-12"/>
    <n v="5"/>
    <x v="2"/>
    <x v="12"/>
    <x v="0"/>
  </r>
  <r>
    <x v="12"/>
    <n v="484"/>
    <n v="28"/>
    <n v="3"/>
    <x v="0"/>
    <x v="3"/>
    <x v="4"/>
  </r>
  <r>
    <x v="240"/>
    <n v="47"/>
    <n v="-27"/>
    <n v="4"/>
    <x v="2"/>
    <x v="6"/>
    <x v="1"/>
  </r>
  <r>
    <x v="2"/>
    <n v="45"/>
    <n v="8"/>
    <n v="4"/>
    <x v="2"/>
    <x v="9"/>
    <x v="1"/>
  </r>
  <r>
    <x v="458"/>
    <n v="128"/>
    <n v="55"/>
    <n v="1"/>
    <x v="2"/>
    <x v="6"/>
    <x v="0"/>
  </r>
  <r>
    <x v="58"/>
    <n v="669"/>
    <n v="74"/>
    <n v="5"/>
    <x v="1"/>
    <x v="2"/>
    <x v="0"/>
  </r>
  <r>
    <x v="459"/>
    <n v="34"/>
    <n v="13"/>
    <n v="2"/>
    <x v="2"/>
    <x v="6"/>
    <x v="0"/>
  </r>
  <r>
    <x v="223"/>
    <n v="44"/>
    <n v="14"/>
    <n v="3"/>
    <x v="2"/>
    <x v="7"/>
    <x v="2"/>
  </r>
  <r>
    <x v="20"/>
    <n v="33"/>
    <n v="1"/>
    <n v="2"/>
    <x v="2"/>
    <x v="16"/>
    <x v="0"/>
  </r>
  <r>
    <x v="362"/>
    <n v="33"/>
    <n v="10"/>
    <n v="3"/>
    <x v="2"/>
    <x v="7"/>
    <x v="0"/>
  </r>
  <r>
    <x v="100"/>
    <n v="487"/>
    <n v="-23"/>
    <n v="3"/>
    <x v="0"/>
    <x v="3"/>
    <x v="4"/>
  </r>
  <r>
    <x v="98"/>
    <n v="497"/>
    <n v="179"/>
    <n v="3"/>
    <x v="1"/>
    <x v="1"/>
    <x v="4"/>
  </r>
  <r>
    <x v="76"/>
    <n v="508"/>
    <n v="203"/>
    <n v="2"/>
    <x v="0"/>
    <x v="13"/>
    <x v="4"/>
  </r>
  <r>
    <x v="296"/>
    <n v="524"/>
    <n v="-25"/>
    <n v="2"/>
    <x v="0"/>
    <x v="0"/>
    <x v="4"/>
  </r>
  <r>
    <x v="460"/>
    <n v="425"/>
    <n v="183"/>
    <n v="5"/>
    <x v="0"/>
    <x v="13"/>
    <x v="3"/>
  </r>
  <r>
    <x v="44"/>
    <n v="168"/>
    <n v="56"/>
    <n v="3"/>
    <x v="2"/>
    <x v="6"/>
    <x v="0"/>
  </r>
  <r>
    <x v="461"/>
    <n v="141"/>
    <n v="28"/>
    <n v="7"/>
    <x v="1"/>
    <x v="15"/>
    <x v="3"/>
  </r>
  <r>
    <x v="125"/>
    <n v="429"/>
    <n v="17"/>
    <n v="3"/>
    <x v="1"/>
    <x v="1"/>
    <x v="3"/>
  </r>
  <r>
    <x v="220"/>
    <n v="44"/>
    <n v="-8"/>
    <n v="3"/>
    <x v="2"/>
    <x v="11"/>
    <x v="2"/>
  </r>
  <r>
    <x v="171"/>
    <n v="149"/>
    <n v="136"/>
    <n v="3"/>
    <x v="2"/>
    <x v="11"/>
    <x v="3"/>
  </r>
  <r>
    <x v="16"/>
    <n v="44"/>
    <n v="-34"/>
    <n v="3"/>
    <x v="2"/>
    <x v="11"/>
    <x v="2"/>
  </r>
  <r>
    <x v="153"/>
    <n v="33"/>
    <n v="10"/>
    <n v="3"/>
    <x v="2"/>
    <x v="7"/>
    <x v="0"/>
  </r>
  <r>
    <x v="179"/>
    <n v="33"/>
    <n v="9"/>
    <n v="2"/>
    <x v="2"/>
    <x v="7"/>
    <x v="0"/>
  </r>
  <r>
    <x v="139"/>
    <n v="442"/>
    <n v="31"/>
    <n v="2"/>
    <x v="0"/>
    <x v="0"/>
    <x v="3"/>
  </r>
  <r>
    <x v="70"/>
    <n v="41"/>
    <n v="6"/>
    <n v="5"/>
    <x v="2"/>
    <x v="9"/>
    <x v="2"/>
  </r>
  <r>
    <x v="178"/>
    <n v="33"/>
    <n v="-12"/>
    <n v="5"/>
    <x v="2"/>
    <x v="7"/>
    <x v="0"/>
  </r>
  <r>
    <x v="462"/>
    <n v="32"/>
    <n v="3"/>
    <n v="8"/>
    <x v="2"/>
    <x v="7"/>
    <x v="0"/>
  </r>
  <r>
    <x v="126"/>
    <n v="32"/>
    <n v="6"/>
    <n v="3"/>
    <x v="2"/>
    <x v="16"/>
    <x v="0"/>
  </r>
  <r>
    <x v="243"/>
    <n v="179"/>
    <n v="77"/>
    <n v="1"/>
    <x v="2"/>
    <x v="6"/>
    <x v="3"/>
  </r>
  <r>
    <x v="354"/>
    <n v="31"/>
    <n v="10"/>
    <n v="1"/>
    <x v="2"/>
    <x v="8"/>
    <x v="0"/>
  </r>
  <r>
    <x v="59"/>
    <n v="140"/>
    <n v="68"/>
    <n v="5"/>
    <x v="2"/>
    <x v="14"/>
    <x v="0"/>
  </r>
  <r>
    <x v="429"/>
    <n v="529"/>
    <n v="137"/>
    <n v="3"/>
    <x v="0"/>
    <x v="4"/>
    <x v="4"/>
  </r>
  <r>
    <x v="463"/>
    <n v="534"/>
    <n v="0"/>
    <n v="3"/>
    <x v="2"/>
    <x v="6"/>
    <x v="4"/>
  </r>
  <r>
    <x v="319"/>
    <n v="41"/>
    <n v="-6"/>
    <n v="1"/>
    <x v="1"/>
    <x v="1"/>
    <x v="2"/>
  </r>
  <r>
    <x v="176"/>
    <n v="379"/>
    <n v="63"/>
    <n v="2"/>
    <x v="2"/>
    <x v="6"/>
    <x v="0"/>
  </r>
  <r>
    <x v="187"/>
    <n v="81"/>
    <n v="-44"/>
    <n v="3"/>
    <x v="2"/>
    <x v="11"/>
    <x v="0"/>
  </r>
  <r>
    <x v="275"/>
    <n v="40"/>
    <n v="-33"/>
    <n v="5"/>
    <x v="2"/>
    <x v="7"/>
    <x v="2"/>
  </r>
  <r>
    <x v="147"/>
    <n v="40"/>
    <n v="18"/>
    <n v="1"/>
    <x v="0"/>
    <x v="13"/>
    <x v="2"/>
  </r>
  <r>
    <x v="93"/>
    <n v="534"/>
    <n v="0"/>
    <n v="3"/>
    <x v="2"/>
    <x v="6"/>
    <x v="4"/>
  </r>
  <r>
    <x v="179"/>
    <n v="31"/>
    <n v="9"/>
    <n v="2"/>
    <x v="2"/>
    <x v="7"/>
    <x v="0"/>
  </r>
  <r>
    <x v="138"/>
    <n v="473"/>
    <n v="-113"/>
    <n v="9"/>
    <x v="2"/>
    <x v="7"/>
    <x v="3"/>
  </r>
  <r>
    <x v="464"/>
    <n v="31"/>
    <n v="-10"/>
    <n v="3"/>
    <x v="2"/>
    <x v="9"/>
    <x v="0"/>
  </r>
  <r>
    <x v="437"/>
    <n v="31"/>
    <n v="-3"/>
    <n v="4"/>
    <x v="2"/>
    <x v="6"/>
    <x v="0"/>
  </r>
  <r>
    <x v="97"/>
    <n v="91"/>
    <n v="15"/>
    <n v="6"/>
    <x v="2"/>
    <x v="14"/>
    <x v="3"/>
  </r>
  <r>
    <x v="244"/>
    <n v="30"/>
    <n v="-25"/>
    <n v="2"/>
    <x v="2"/>
    <x v="14"/>
    <x v="0"/>
  </r>
  <r>
    <x v="228"/>
    <n v="30"/>
    <n v="6"/>
    <n v="1"/>
    <x v="2"/>
    <x v="14"/>
    <x v="0"/>
  </r>
  <r>
    <x v="14"/>
    <n v="40"/>
    <n v="0"/>
    <n v="3"/>
    <x v="2"/>
    <x v="6"/>
    <x v="2"/>
  </r>
  <r>
    <x v="230"/>
    <n v="534"/>
    <n v="5"/>
    <n v="2"/>
    <x v="0"/>
    <x v="0"/>
    <x v="4"/>
  </r>
  <r>
    <x v="110"/>
    <n v="539"/>
    <n v="-146"/>
    <n v="7"/>
    <x v="1"/>
    <x v="15"/>
    <x v="4"/>
  </r>
  <r>
    <x v="465"/>
    <n v="490"/>
    <n v="-128"/>
    <n v="8"/>
    <x v="1"/>
    <x v="2"/>
    <x v="3"/>
  </r>
  <r>
    <x v="30"/>
    <n v="163"/>
    <n v="81"/>
    <n v="2"/>
    <x v="0"/>
    <x v="13"/>
    <x v="0"/>
  </r>
  <r>
    <x v="58"/>
    <n v="184"/>
    <n v="85"/>
    <n v="6"/>
    <x v="2"/>
    <x v="14"/>
    <x v="3"/>
  </r>
  <r>
    <x v="408"/>
    <n v="494"/>
    <n v="54"/>
    <n v="4"/>
    <x v="1"/>
    <x v="2"/>
    <x v="0"/>
  </r>
  <r>
    <x v="466"/>
    <n v="30"/>
    <n v="11"/>
    <n v="5"/>
    <x v="2"/>
    <x v="7"/>
    <x v="0"/>
  </r>
  <r>
    <x v="388"/>
    <n v="30"/>
    <n v="0"/>
    <n v="1"/>
    <x v="2"/>
    <x v="8"/>
    <x v="0"/>
  </r>
  <r>
    <x v="35"/>
    <n v="39"/>
    <n v="-18"/>
    <n v="2"/>
    <x v="2"/>
    <x v="12"/>
    <x v="2"/>
  </r>
  <r>
    <x v="274"/>
    <n v="1700"/>
    <n v="85"/>
    <n v="3"/>
    <x v="2"/>
    <x v="5"/>
    <x v="0"/>
  </r>
  <r>
    <x v="111"/>
    <n v="332"/>
    <n v="-43"/>
    <n v="6"/>
    <x v="0"/>
    <x v="4"/>
    <x v="3"/>
  </r>
  <r>
    <x v="202"/>
    <n v="436"/>
    <n v="131"/>
    <n v="9"/>
    <x v="2"/>
    <x v="7"/>
    <x v="3"/>
  </r>
  <r>
    <x v="233"/>
    <n v="30"/>
    <n v="-5"/>
    <n v="2"/>
    <x v="1"/>
    <x v="15"/>
    <x v="0"/>
  </r>
  <r>
    <x v="234"/>
    <n v="30"/>
    <n v="-10"/>
    <n v="2"/>
    <x v="2"/>
    <x v="11"/>
    <x v="0"/>
  </r>
  <r>
    <x v="176"/>
    <n v="38"/>
    <n v="-13"/>
    <n v="3"/>
    <x v="2"/>
    <x v="11"/>
    <x v="2"/>
  </r>
  <r>
    <x v="140"/>
    <n v="511"/>
    <n v="194"/>
    <n v="3"/>
    <x v="1"/>
    <x v="1"/>
    <x v="3"/>
  </r>
  <r>
    <x v="40"/>
    <n v="37"/>
    <n v="-53"/>
    <n v="3"/>
    <x v="2"/>
    <x v="6"/>
    <x v="2"/>
  </r>
  <r>
    <x v="81"/>
    <n v="513"/>
    <n v="215"/>
    <n v="2"/>
    <x v="0"/>
    <x v="13"/>
    <x v="0"/>
  </r>
  <r>
    <x v="70"/>
    <n v="516"/>
    <n v="69"/>
    <n v="4"/>
    <x v="1"/>
    <x v="2"/>
    <x v="3"/>
  </r>
  <r>
    <x v="131"/>
    <n v="559"/>
    <n v="-19"/>
    <n v="2"/>
    <x v="2"/>
    <x v="5"/>
    <x v="4"/>
  </r>
  <r>
    <x v="467"/>
    <n v="29"/>
    <n v="-10"/>
    <n v="3"/>
    <x v="2"/>
    <x v="9"/>
    <x v="0"/>
  </r>
  <r>
    <x v="368"/>
    <n v="148"/>
    <n v="52"/>
    <n v="5"/>
    <x v="2"/>
    <x v="11"/>
    <x v="3"/>
  </r>
  <r>
    <x v="241"/>
    <n v="559"/>
    <n v="-174"/>
    <n v="2"/>
    <x v="0"/>
    <x v="0"/>
    <x v="4"/>
  </r>
  <r>
    <x v="267"/>
    <n v="527"/>
    <n v="26"/>
    <n v="3"/>
    <x v="0"/>
    <x v="0"/>
    <x v="0"/>
  </r>
  <r>
    <x v="268"/>
    <n v="560"/>
    <n v="44"/>
    <n v="3"/>
    <x v="2"/>
    <x v="6"/>
    <x v="4"/>
  </r>
  <r>
    <x v="193"/>
    <n v="571"/>
    <n v="108"/>
    <n v="12"/>
    <x v="2"/>
    <x v="11"/>
    <x v="4"/>
  </r>
  <r>
    <x v="468"/>
    <n v="29"/>
    <n v="2"/>
    <n v="3"/>
    <x v="2"/>
    <x v="9"/>
    <x v="0"/>
  </r>
  <r>
    <x v="267"/>
    <n v="29"/>
    <n v="3"/>
    <n v="2"/>
    <x v="2"/>
    <x v="11"/>
    <x v="0"/>
  </r>
  <r>
    <x v="252"/>
    <n v="29"/>
    <n v="-3"/>
    <n v="3"/>
    <x v="2"/>
    <x v="6"/>
    <x v="0"/>
  </r>
  <r>
    <x v="469"/>
    <n v="35"/>
    <n v="14"/>
    <n v="2"/>
    <x v="2"/>
    <x v="11"/>
    <x v="2"/>
  </r>
  <r>
    <x v="18"/>
    <n v="579"/>
    <n v="139"/>
    <n v="3"/>
    <x v="0"/>
    <x v="3"/>
    <x v="4"/>
  </r>
  <r>
    <x v="13"/>
    <n v="29"/>
    <n v="-24"/>
    <n v="4"/>
    <x v="2"/>
    <x v="12"/>
    <x v="0"/>
  </r>
  <r>
    <x v="40"/>
    <n v="593"/>
    <n v="213"/>
    <n v="4"/>
    <x v="1"/>
    <x v="2"/>
    <x v="4"/>
  </r>
  <r>
    <x v="141"/>
    <n v="217"/>
    <n v="72"/>
    <n v="2"/>
    <x v="1"/>
    <x v="15"/>
    <x v="0"/>
  </r>
  <r>
    <x v="470"/>
    <n v="353"/>
    <n v="90"/>
    <n v="8"/>
    <x v="2"/>
    <x v="6"/>
    <x v="0"/>
  </r>
  <r>
    <x v="198"/>
    <n v="382"/>
    <n v="92"/>
    <n v="2"/>
    <x v="0"/>
    <x v="3"/>
    <x v="0"/>
  </r>
  <r>
    <x v="160"/>
    <n v="597"/>
    <n v="93"/>
    <n v="4"/>
    <x v="1"/>
    <x v="1"/>
    <x v="4"/>
  </r>
  <r>
    <x v="471"/>
    <n v="212"/>
    <n v="97"/>
    <n v="7"/>
    <x v="2"/>
    <x v="7"/>
    <x v="0"/>
  </r>
  <r>
    <x v="237"/>
    <n v="689"/>
    <n v="90"/>
    <n v="5"/>
    <x v="2"/>
    <x v="6"/>
    <x v="0"/>
  </r>
  <r>
    <x v="472"/>
    <n v="28"/>
    <n v="-10"/>
    <n v="3"/>
    <x v="2"/>
    <x v="9"/>
    <x v="0"/>
  </r>
  <r>
    <x v="173"/>
    <n v="34"/>
    <n v="12"/>
    <n v="3"/>
    <x v="2"/>
    <x v="7"/>
    <x v="2"/>
  </r>
  <r>
    <x v="58"/>
    <n v="600"/>
    <n v="-102"/>
    <n v="5"/>
    <x v="0"/>
    <x v="0"/>
    <x v="4"/>
  </r>
  <r>
    <x v="473"/>
    <n v="637"/>
    <n v="113"/>
    <n v="5"/>
    <x v="2"/>
    <x v="6"/>
    <x v="3"/>
  </r>
  <r>
    <x v="36"/>
    <n v="616"/>
    <n v="-69"/>
    <n v="7"/>
    <x v="1"/>
    <x v="15"/>
    <x v="4"/>
  </r>
  <r>
    <x v="93"/>
    <n v="624"/>
    <n v="37"/>
    <n v="2"/>
    <x v="0"/>
    <x v="0"/>
    <x v="4"/>
  </r>
  <r>
    <x v="353"/>
    <n v="28"/>
    <n v="4"/>
    <n v="1"/>
    <x v="2"/>
    <x v="14"/>
    <x v="0"/>
  </r>
  <r>
    <x v="244"/>
    <n v="584"/>
    <n v="-444"/>
    <n v="7"/>
    <x v="0"/>
    <x v="3"/>
    <x v="3"/>
  </r>
  <r>
    <x v="146"/>
    <n v="28"/>
    <n v="6"/>
    <n v="4"/>
    <x v="2"/>
    <x v="9"/>
    <x v="0"/>
  </r>
  <r>
    <x v="3"/>
    <n v="33"/>
    <n v="-1"/>
    <n v="1"/>
    <x v="2"/>
    <x v="6"/>
    <x v="2"/>
  </r>
  <r>
    <x v="256"/>
    <n v="27"/>
    <n v="-20"/>
    <n v="2"/>
    <x v="2"/>
    <x v="7"/>
    <x v="0"/>
  </r>
  <r>
    <x v="155"/>
    <n v="27"/>
    <n v="5"/>
    <n v="2"/>
    <x v="2"/>
    <x v="9"/>
    <x v="0"/>
  </r>
  <r>
    <x v="61"/>
    <n v="27"/>
    <n v="4"/>
    <n v="3"/>
    <x v="2"/>
    <x v="9"/>
    <x v="0"/>
  </r>
  <r>
    <x v="266"/>
    <n v="635"/>
    <n v="-349"/>
    <n v="5"/>
    <x v="2"/>
    <x v="6"/>
    <x v="4"/>
  </r>
  <r>
    <x v="259"/>
    <n v="598"/>
    <n v="166"/>
    <n v="4"/>
    <x v="1"/>
    <x v="2"/>
    <x v="3"/>
  </r>
  <r>
    <x v="353"/>
    <n v="636"/>
    <n v="-204"/>
    <n v="2"/>
    <x v="0"/>
    <x v="3"/>
    <x v="4"/>
  </r>
  <r>
    <x v="350"/>
    <n v="27"/>
    <n v="9"/>
    <n v="2"/>
    <x v="2"/>
    <x v="7"/>
    <x v="0"/>
  </r>
  <r>
    <x v="150"/>
    <n v="27"/>
    <n v="-6"/>
    <n v="4"/>
    <x v="2"/>
    <x v="7"/>
    <x v="0"/>
  </r>
  <r>
    <x v="125"/>
    <n v="637"/>
    <n v="212"/>
    <n v="8"/>
    <x v="0"/>
    <x v="4"/>
    <x v="4"/>
  </r>
  <r>
    <x v="221"/>
    <n v="290"/>
    <n v="110"/>
    <n v="9"/>
    <x v="2"/>
    <x v="11"/>
    <x v="3"/>
  </r>
  <r>
    <x v="474"/>
    <n v="27"/>
    <n v="-25"/>
    <n v="2"/>
    <x v="2"/>
    <x v="11"/>
    <x v="0"/>
  </r>
  <r>
    <x v="475"/>
    <n v="632"/>
    <n v="-114"/>
    <n v="4"/>
    <x v="1"/>
    <x v="10"/>
    <x v="3"/>
  </r>
  <r>
    <x v="13"/>
    <n v="643"/>
    <n v="-45"/>
    <n v="2"/>
    <x v="0"/>
    <x v="3"/>
    <x v="4"/>
  </r>
  <r>
    <x v="34"/>
    <n v="652"/>
    <n v="13"/>
    <n v="6"/>
    <x v="1"/>
    <x v="15"/>
    <x v="4"/>
  </r>
  <r>
    <x v="97"/>
    <n v="33"/>
    <n v="-27"/>
    <n v="1"/>
    <x v="1"/>
    <x v="1"/>
    <x v="2"/>
  </r>
  <r>
    <x v="356"/>
    <n v="26"/>
    <n v="2"/>
    <n v="2"/>
    <x v="2"/>
    <x v="7"/>
    <x v="0"/>
  </r>
  <r>
    <x v="339"/>
    <n v="633"/>
    <n v="-633"/>
    <n v="11"/>
    <x v="0"/>
    <x v="13"/>
    <x v="3"/>
  </r>
  <r>
    <x v="5"/>
    <n v="26"/>
    <n v="9"/>
    <n v="2"/>
    <x v="2"/>
    <x v="12"/>
    <x v="0"/>
  </r>
  <r>
    <x v="85"/>
    <n v="191"/>
    <n v="93"/>
    <n v="4"/>
    <x v="2"/>
    <x v="16"/>
    <x v="3"/>
  </r>
  <r>
    <x v="6"/>
    <n v="887"/>
    <n v="80"/>
    <n v="3"/>
    <x v="0"/>
    <x v="3"/>
    <x v="3"/>
  </r>
  <r>
    <x v="476"/>
    <n v="637"/>
    <n v="261"/>
    <n v="2"/>
    <x v="0"/>
    <x v="3"/>
    <x v="0"/>
  </r>
  <r>
    <x v="220"/>
    <n v="670"/>
    <n v="15"/>
    <n v="5"/>
    <x v="1"/>
    <x v="2"/>
    <x v="4"/>
  </r>
  <r>
    <x v="45"/>
    <n v="26"/>
    <n v="7"/>
    <n v="4"/>
    <x v="2"/>
    <x v="7"/>
    <x v="0"/>
  </r>
  <r>
    <x v="58"/>
    <n v="676"/>
    <n v="195"/>
    <n v="5"/>
    <x v="1"/>
    <x v="2"/>
    <x v="4"/>
  </r>
  <r>
    <x v="477"/>
    <n v="26"/>
    <n v="12"/>
    <n v="3"/>
    <x v="2"/>
    <x v="7"/>
    <x v="0"/>
  </r>
  <r>
    <x v="39"/>
    <n v="26"/>
    <n v="-24"/>
    <n v="1"/>
    <x v="2"/>
    <x v="11"/>
    <x v="0"/>
  </r>
  <r>
    <x v="92"/>
    <n v="25"/>
    <n v="7"/>
    <n v="2"/>
    <x v="2"/>
    <x v="11"/>
    <x v="0"/>
  </r>
  <r>
    <x v="117"/>
    <n v="24"/>
    <n v="-30"/>
    <n v="1"/>
    <x v="1"/>
    <x v="1"/>
    <x v="0"/>
  </r>
  <r>
    <x v="191"/>
    <n v="32"/>
    <n v="-12"/>
    <n v="1"/>
    <x v="1"/>
    <x v="1"/>
    <x v="2"/>
  </r>
  <r>
    <x v="104"/>
    <n v="31"/>
    <n v="-2"/>
    <n v="2"/>
    <x v="2"/>
    <x v="6"/>
    <x v="2"/>
  </r>
  <r>
    <x v="93"/>
    <n v="651"/>
    <n v="169"/>
    <n v="5"/>
    <x v="0"/>
    <x v="3"/>
    <x v="0"/>
  </r>
  <r>
    <x v="277"/>
    <n v="326"/>
    <n v="107"/>
    <n v="3"/>
    <x v="1"/>
    <x v="15"/>
    <x v="3"/>
  </r>
  <r>
    <x v="356"/>
    <n v="30"/>
    <n v="-6"/>
    <n v="2"/>
    <x v="2"/>
    <x v="7"/>
    <x v="3"/>
  </r>
  <r>
    <x v="147"/>
    <n v="30"/>
    <n v="5"/>
    <n v="2"/>
    <x v="2"/>
    <x v="8"/>
    <x v="3"/>
  </r>
  <r>
    <x v="478"/>
    <n v="662"/>
    <n v="240"/>
    <n v="2"/>
    <x v="1"/>
    <x v="2"/>
    <x v="0"/>
  </r>
  <r>
    <x v="29"/>
    <n v="30"/>
    <n v="-23"/>
    <n v="2"/>
    <x v="2"/>
    <x v="6"/>
    <x v="3"/>
  </r>
  <r>
    <x v="221"/>
    <n v="29"/>
    <n v="9"/>
    <n v="3"/>
    <x v="2"/>
    <x v="6"/>
    <x v="3"/>
  </r>
  <r>
    <x v="131"/>
    <n v="28"/>
    <n v="1"/>
    <n v="1"/>
    <x v="0"/>
    <x v="13"/>
    <x v="3"/>
  </r>
  <r>
    <x v="87"/>
    <n v="28"/>
    <n v="-3"/>
    <n v="2"/>
    <x v="2"/>
    <x v="6"/>
    <x v="3"/>
  </r>
  <r>
    <x v="479"/>
    <n v="24"/>
    <n v="2"/>
    <n v="4"/>
    <x v="2"/>
    <x v="7"/>
    <x v="0"/>
  </r>
  <r>
    <x v="104"/>
    <n v="28"/>
    <n v="-26"/>
    <n v="2"/>
    <x v="2"/>
    <x v="11"/>
    <x v="3"/>
  </r>
  <r>
    <x v="243"/>
    <n v="27"/>
    <n v="5"/>
    <n v="1"/>
    <x v="2"/>
    <x v="11"/>
    <x v="3"/>
  </r>
  <r>
    <x v="480"/>
    <n v="27"/>
    <n v="-15"/>
    <n v="1"/>
    <x v="2"/>
    <x v="11"/>
    <x v="3"/>
  </r>
  <r>
    <x v="351"/>
    <n v="24"/>
    <n v="11"/>
    <n v="3"/>
    <x v="2"/>
    <x v="7"/>
    <x v="0"/>
  </r>
  <r>
    <x v="234"/>
    <n v="23"/>
    <n v="-6"/>
    <n v="4"/>
    <x v="2"/>
    <x v="7"/>
    <x v="0"/>
  </r>
  <r>
    <x v="69"/>
    <n v="322"/>
    <n v="193"/>
    <n v="5"/>
    <x v="0"/>
    <x v="3"/>
    <x v="0"/>
  </r>
  <r>
    <x v="170"/>
    <n v="688"/>
    <n v="-103"/>
    <n v="6"/>
    <x v="0"/>
    <x v="13"/>
    <x v="4"/>
  </r>
  <r>
    <x v="339"/>
    <n v="23"/>
    <n v="-3"/>
    <n v="1"/>
    <x v="2"/>
    <x v="16"/>
    <x v="0"/>
  </r>
  <r>
    <x v="177"/>
    <n v="26"/>
    <n v="3"/>
    <n v="3"/>
    <x v="2"/>
    <x v="9"/>
    <x v="3"/>
  </r>
  <r>
    <x v="230"/>
    <n v="68"/>
    <n v="-56"/>
    <n v="2"/>
    <x v="0"/>
    <x v="4"/>
    <x v="0"/>
  </r>
  <r>
    <x v="360"/>
    <n v="462"/>
    <n v="169"/>
    <n v="4"/>
    <x v="2"/>
    <x v="6"/>
    <x v="0"/>
  </r>
  <r>
    <x v="437"/>
    <n v="941"/>
    <n v="203"/>
    <n v="3"/>
    <x v="1"/>
    <x v="10"/>
    <x v="3"/>
  </r>
  <r>
    <x v="159"/>
    <n v="23"/>
    <n v="4"/>
    <n v="2"/>
    <x v="2"/>
    <x v="9"/>
    <x v="0"/>
  </r>
  <r>
    <x v="404"/>
    <n v="720"/>
    <n v="43"/>
    <n v="2"/>
    <x v="0"/>
    <x v="3"/>
    <x v="3"/>
  </r>
  <r>
    <x v="27"/>
    <n v="724"/>
    <n v="-447"/>
    <n v="4"/>
    <x v="0"/>
    <x v="0"/>
    <x v="3"/>
  </r>
  <r>
    <x v="481"/>
    <n v="724"/>
    <n v="253"/>
    <n v="2"/>
    <x v="1"/>
    <x v="2"/>
    <x v="3"/>
  </r>
  <r>
    <x v="51"/>
    <n v="26"/>
    <n v="10"/>
    <n v="4"/>
    <x v="2"/>
    <x v="7"/>
    <x v="3"/>
  </r>
  <r>
    <x v="77"/>
    <n v="22"/>
    <n v="-2"/>
    <n v="3"/>
    <x v="2"/>
    <x v="7"/>
    <x v="0"/>
  </r>
  <r>
    <x v="157"/>
    <n v="711"/>
    <n v="-8"/>
    <n v="4"/>
    <x v="2"/>
    <x v="6"/>
    <x v="4"/>
  </r>
  <r>
    <x v="256"/>
    <n v="107"/>
    <n v="31"/>
    <n v="5"/>
    <x v="2"/>
    <x v="14"/>
    <x v="0"/>
  </r>
  <r>
    <x v="309"/>
    <n v="765"/>
    <n v="-153"/>
    <n v="2"/>
    <x v="0"/>
    <x v="4"/>
    <x v="4"/>
  </r>
  <r>
    <x v="350"/>
    <n v="22"/>
    <n v="8"/>
    <n v="2"/>
    <x v="2"/>
    <x v="12"/>
    <x v="0"/>
  </r>
  <r>
    <x v="386"/>
    <n v="26"/>
    <n v="-5"/>
    <n v="2"/>
    <x v="2"/>
    <x v="11"/>
    <x v="3"/>
  </r>
  <r>
    <x v="155"/>
    <n v="22"/>
    <n v="8"/>
    <n v="3"/>
    <x v="2"/>
    <x v="7"/>
    <x v="0"/>
  </r>
  <r>
    <x v="482"/>
    <n v="743"/>
    <n v="89"/>
    <n v="5"/>
    <x v="0"/>
    <x v="3"/>
    <x v="3"/>
  </r>
  <r>
    <x v="10"/>
    <n v="22"/>
    <n v="-15"/>
    <n v="4"/>
    <x v="2"/>
    <x v="8"/>
    <x v="0"/>
  </r>
  <r>
    <x v="233"/>
    <n v="781"/>
    <n v="594"/>
    <n v="6"/>
    <x v="0"/>
    <x v="3"/>
    <x v="4"/>
  </r>
  <r>
    <x v="276"/>
    <n v="25"/>
    <n v="-2"/>
    <n v="5"/>
    <x v="2"/>
    <x v="7"/>
    <x v="3"/>
  </r>
  <r>
    <x v="205"/>
    <n v="25"/>
    <n v="2"/>
    <n v="2"/>
    <x v="2"/>
    <x v="7"/>
    <x v="3"/>
  </r>
  <r>
    <x v="309"/>
    <n v="119"/>
    <n v="43"/>
    <n v="5"/>
    <x v="2"/>
    <x v="14"/>
    <x v="0"/>
  </r>
  <r>
    <x v="214"/>
    <n v="785"/>
    <n v="52"/>
    <n v="2"/>
    <x v="0"/>
    <x v="4"/>
    <x v="4"/>
  </r>
  <r>
    <x v="226"/>
    <n v="183"/>
    <n v="-66"/>
    <n v="5"/>
    <x v="0"/>
    <x v="4"/>
    <x v="3"/>
  </r>
  <r>
    <x v="300"/>
    <n v="22"/>
    <n v="4"/>
    <n v="1"/>
    <x v="2"/>
    <x v="11"/>
    <x v="0"/>
  </r>
  <r>
    <x v="76"/>
    <n v="642"/>
    <n v="180"/>
    <n v="5"/>
    <x v="2"/>
    <x v="6"/>
    <x v="0"/>
  </r>
  <r>
    <x v="244"/>
    <n v="767"/>
    <n v="-353"/>
    <n v="5"/>
    <x v="2"/>
    <x v="5"/>
    <x v="0"/>
  </r>
  <r>
    <x v="260"/>
    <n v="770"/>
    <n v="323"/>
    <n v="3"/>
    <x v="0"/>
    <x v="13"/>
    <x v="0"/>
  </r>
  <r>
    <x v="356"/>
    <n v="21"/>
    <n v="-17"/>
    <n v="3"/>
    <x v="2"/>
    <x v="16"/>
    <x v="0"/>
  </r>
  <r>
    <x v="305"/>
    <n v="21"/>
    <n v="-6"/>
    <n v="3"/>
    <x v="2"/>
    <x v="12"/>
    <x v="0"/>
  </r>
  <r>
    <x v="3"/>
    <n v="492"/>
    <n v="187"/>
    <n v="2"/>
    <x v="0"/>
    <x v="13"/>
    <x v="3"/>
  </r>
  <r>
    <x v="327"/>
    <n v="816"/>
    <n v="-96"/>
    <n v="3"/>
    <x v="0"/>
    <x v="3"/>
    <x v="4"/>
  </r>
  <r>
    <x v="238"/>
    <n v="25"/>
    <n v="2"/>
    <n v="3"/>
    <x v="2"/>
    <x v="8"/>
    <x v="2"/>
  </r>
  <r>
    <x v="274"/>
    <n v="802"/>
    <n v="120"/>
    <n v="7"/>
    <x v="0"/>
    <x v="13"/>
    <x v="0"/>
  </r>
  <r>
    <x v="483"/>
    <n v="811"/>
    <n v="154"/>
    <n v="7"/>
    <x v="0"/>
    <x v="13"/>
    <x v="3"/>
  </r>
  <r>
    <x v="426"/>
    <n v="835"/>
    <n v="267"/>
    <n v="5"/>
    <x v="0"/>
    <x v="4"/>
    <x v="4"/>
  </r>
  <r>
    <x v="247"/>
    <n v="21"/>
    <n v="-5"/>
    <n v="1"/>
    <x v="0"/>
    <x v="13"/>
    <x v="0"/>
  </r>
  <r>
    <x v="262"/>
    <n v="450"/>
    <n v="-190"/>
    <n v="4"/>
    <x v="1"/>
    <x v="2"/>
    <x v="0"/>
  </r>
  <r>
    <x v="275"/>
    <n v="24"/>
    <n v="-1"/>
    <n v="4"/>
    <x v="2"/>
    <x v="9"/>
    <x v="2"/>
  </r>
  <r>
    <x v="484"/>
    <n v="832"/>
    <n v="0"/>
    <n v="3"/>
    <x v="2"/>
    <x v="5"/>
    <x v="3"/>
  </r>
  <r>
    <x v="329"/>
    <n v="833"/>
    <n v="93"/>
    <n v="3"/>
    <x v="2"/>
    <x v="5"/>
    <x v="3"/>
  </r>
  <r>
    <x v="485"/>
    <n v="20"/>
    <n v="6"/>
    <n v="1"/>
    <x v="2"/>
    <x v="14"/>
    <x v="0"/>
  </r>
  <r>
    <x v="386"/>
    <n v="23"/>
    <n v="-5"/>
    <n v="7"/>
    <x v="2"/>
    <x v="7"/>
    <x v="2"/>
  </r>
  <r>
    <x v="139"/>
    <n v="550"/>
    <n v="-242"/>
    <n v="5"/>
    <x v="1"/>
    <x v="15"/>
    <x v="3"/>
  </r>
  <r>
    <x v="312"/>
    <n v="148"/>
    <n v="-91"/>
    <n v="2"/>
    <x v="0"/>
    <x v="4"/>
    <x v="0"/>
  </r>
  <r>
    <x v="146"/>
    <n v="846"/>
    <n v="9"/>
    <n v="2"/>
    <x v="1"/>
    <x v="1"/>
    <x v="4"/>
  </r>
  <r>
    <x v="57"/>
    <n v="856"/>
    <n v="385"/>
    <n v="6"/>
    <x v="0"/>
    <x v="3"/>
    <x v="0"/>
  </r>
  <r>
    <x v="342"/>
    <n v="871"/>
    <n v="131"/>
    <n v="2"/>
    <x v="1"/>
    <x v="2"/>
    <x v="3"/>
  </r>
  <r>
    <x v="179"/>
    <n v="19"/>
    <n v="-18"/>
    <n v="4"/>
    <x v="2"/>
    <x v="8"/>
    <x v="0"/>
  </r>
  <r>
    <x v="486"/>
    <n v="610"/>
    <n v="-66"/>
    <n v="2"/>
    <x v="1"/>
    <x v="10"/>
    <x v="0"/>
  </r>
  <r>
    <x v="327"/>
    <n v="880"/>
    <n v="97"/>
    <n v="8"/>
    <x v="1"/>
    <x v="15"/>
    <x v="4"/>
  </r>
  <r>
    <x v="101"/>
    <n v="22"/>
    <n v="-8"/>
    <n v="4"/>
    <x v="2"/>
    <x v="7"/>
    <x v="2"/>
  </r>
  <r>
    <x v="487"/>
    <n v="22"/>
    <n v="11"/>
    <n v="2"/>
    <x v="2"/>
    <x v="9"/>
    <x v="2"/>
  </r>
  <r>
    <x v="488"/>
    <n v="21"/>
    <n v="4"/>
    <n v="3"/>
    <x v="2"/>
    <x v="7"/>
    <x v="2"/>
  </r>
  <r>
    <x v="275"/>
    <n v="18"/>
    <n v="1"/>
    <n v="3"/>
    <x v="2"/>
    <x v="7"/>
    <x v="0"/>
  </r>
  <r>
    <x v="489"/>
    <n v="911"/>
    <n v="202"/>
    <n v="7"/>
    <x v="1"/>
    <x v="1"/>
    <x v="0"/>
  </r>
  <r>
    <x v="267"/>
    <n v="18"/>
    <n v="2"/>
    <n v="3"/>
    <x v="2"/>
    <x v="7"/>
    <x v="0"/>
  </r>
  <r>
    <x v="317"/>
    <n v="911"/>
    <n v="355"/>
    <n v="5"/>
    <x v="0"/>
    <x v="4"/>
    <x v="4"/>
  </r>
  <r>
    <x v="197"/>
    <n v="143"/>
    <n v="-129"/>
    <n v="2"/>
    <x v="0"/>
    <x v="4"/>
    <x v="0"/>
  </r>
  <r>
    <x v="100"/>
    <n v="918"/>
    <n v="22"/>
    <n v="9"/>
    <x v="0"/>
    <x v="0"/>
    <x v="0"/>
  </r>
  <r>
    <x v="104"/>
    <n v="925"/>
    <n v="-447"/>
    <n v="5"/>
    <x v="0"/>
    <x v="0"/>
    <x v="0"/>
  </r>
  <r>
    <x v="142"/>
    <n v="17"/>
    <n v="8"/>
    <n v="2"/>
    <x v="2"/>
    <x v="9"/>
    <x v="0"/>
  </r>
  <r>
    <x v="490"/>
    <n v="465"/>
    <n v="207"/>
    <n v="9"/>
    <x v="2"/>
    <x v="6"/>
    <x v="0"/>
  </r>
  <r>
    <x v="118"/>
    <n v="17"/>
    <n v="-9"/>
    <n v="3"/>
    <x v="2"/>
    <x v="11"/>
    <x v="0"/>
  </r>
  <r>
    <x v="102"/>
    <n v="935"/>
    <n v="114"/>
    <n v="4"/>
    <x v="0"/>
    <x v="0"/>
    <x v="3"/>
  </r>
  <r>
    <x v="89"/>
    <n v="16"/>
    <n v="-10"/>
    <n v="2"/>
    <x v="2"/>
    <x v="14"/>
    <x v="0"/>
  </r>
  <r>
    <x v="2"/>
    <n v="954"/>
    <n v="95"/>
    <n v="3"/>
    <x v="0"/>
    <x v="3"/>
    <x v="3"/>
  </r>
  <r>
    <x v="85"/>
    <n v="915"/>
    <n v="-99"/>
    <n v="3"/>
    <x v="1"/>
    <x v="10"/>
    <x v="4"/>
  </r>
  <r>
    <x v="298"/>
    <n v="955"/>
    <n v="305"/>
    <n v="3"/>
    <x v="0"/>
    <x v="3"/>
    <x v="4"/>
  </r>
  <r>
    <x v="37"/>
    <n v="976"/>
    <n v="293"/>
    <n v="4"/>
    <x v="0"/>
    <x v="13"/>
    <x v="0"/>
  </r>
  <r>
    <x v="312"/>
    <n v="1069"/>
    <n v="0"/>
    <n v="6"/>
    <x v="2"/>
    <x v="6"/>
    <x v="1"/>
  </r>
  <r>
    <x v="258"/>
    <n v="19"/>
    <n v="-15"/>
    <n v="3"/>
    <x v="2"/>
    <x v="7"/>
    <x v="2"/>
  </r>
  <r>
    <x v="289"/>
    <n v="16"/>
    <n v="6"/>
    <n v="3"/>
    <x v="2"/>
    <x v="7"/>
    <x v="0"/>
  </r>
  <r>
    <x v="70"/>
    <n v="1030"/>
    <n v="206"/>
    <n v="8"/>
    <x v="0"/>
    <x v="3"/>
    <x v="3"/>
  </r>
  <r>
    <x v="256"/>
    <n v="620"/>
    <n v="82"/>
    <n v="6"/>
    <x v="0"/>
    <x v="13"/>
    <x v="0"/>
  </r>
  <r>
    <x v="182"/>
    <n v="16"/>
    <n v="8"/>
    <n v="2"/>
    <x v="2"/>
    <x v="7"/>
    <x v="0"/>
  </r>
  <r>
    <x v="35"/>
    <n v="19"/>
    <n v="8"/>
    <n v="2"/>
    <x v="2"/>
    <x v="7"/>
    <x v="2"/>
  </r>
  <r>
    <x v="157"/>
    <n v="249"/>
    <n v="-130"/>
    <n v="4"/>
    <x v="0"/>
    <x v="4"/>
    <x v="3"/>
  </r>
  <r>
    <x v="491"/>
    <n v="16"/>
    <n v="6"/>
    <n v="1"/>
    <x v="2"/>
    <x v="11"/>
    <x v="0"/>
  </r>
  <r>
    <x v="97"/>
    <n v="1361"/>
    <n v="197"/>
    <n v="9"/>
    <x v="1"/>
    <x v="2"/>
    <x v="0"/>
  </r>
  <r>
    <x v="92"/>
    <n v="15"/>
    <n v="1"/>
    <n v="1"/>
    <x v="2"/>
    <x v="16"/>
    <x v="0"/>
  </r>
  <r>
    <x v="233"/>
    <n v="1076"/>
    <n v="-38"/>
    <n v="4"/>
    <x v="0"/>
    <x v="3"/>
    <x v="0"/>
  </r>
  <r>
    <x v="127"/>
    <n v="18"/>
    <n v="2"/>
    <n v="3"/>
    <x v="2"/>
    <x v="7"/>
    <x v="2"/>
  </r>
  <r>
    <x v="492"/>
    <n v="1101"/>
    <n v="352"/>
    <n v="3"/>
    <x v="1"/>
    <x v="2"/>
    <x v="3"/>
  </r>
  <r>
    <x v="148"/>
    <n v="15"/>
    <n v="2"/>
    <n v="1"/>
    <x v="2"/>
    <x v="12"/>
    <x v="0"/>
  </r>
  <r>
    <x v="30"/>
    <n v="1104"/>
    <n v="209"/>
    <n v="4"/>
    <x v="2"/>
    <x v="5"/>
    <x v="3"/>
  </r>
  <r>
    <x v="123"/>
    <n v="14"/>
    <n v="2"/>
    <n v="1"/>
    <x v="2"/>
    <x v="7"/>
    <x v="0"/>
  </r>
  <r>
    <x v="74"/>
    <n v="14"/>
    <n v="5"/>
    <n v="1"/>
    <x v="2"/>
    <x v="7"/>
    <x v="0"/>
  </r>
  <r>
    <x v="230"/>
    <n v="14"/>
    <n v="-3"/>
    <n v="2"/>
    <x v="2"/>
    <x v="12"/>
    <x v="0"/>
  </r>
  <r>
    <x v="7"/>
    <n v="14"/>
    <n v="-1"/>
    <n v="4"/>
    <x v="2"/>
    <x v="8"/>
    <x v="0"/>
  </r>
  <r>
    <x v="36"/>
    <n v="13"/>
    <n v="-8"/>
    <n v="1"/>
    <x v="2"/>
    <x v="14"/>
    <x v="0"/>
  </r>
  <r>
    <x v="93"/>
    <n v="13"/>
    <n v="-1"/>
    <n v="3"/>
    <x v="2"/>
    <x v="7"/>
    <x v="0"/>
  </r>
  <r>
    <x v="314"/>
    <n v="1275"/>
    <n v="1148"/>
    <n v="7"/>
    <x v="1"/>
    <x v="2"/>
    <x v="1"/>
  </r>
  <r>
    <x v="135"/>
    <n v="17"/>
    <n v="1"/>
    <n v="2"/>
    <x v="2"/>
    <x v="9"/>
    <x v="2"/>
  </r>
  <r>
    <x v="24"/>
    <n v="13"/>
    <n v="0"/>
    <n v="2"/>
    <x v="2"/>
    <x v="7"/>
    <x v="0"/>
  </r>
  <r>
    <x v="203"/>
    <n v="1270"/>
    <n v="546"/>
    <n v="11"/>
    <x v="0"/>
    <x v="0"/>
    <x v="1"/>
  </r>
  <r>
    <x v="106"/>
    <n v="13"/>
    <n v="-2"/>
    <n v="1"/>
    <x v="2"/>
    <x v="11"/>
    <x v="0"/>
  </r>
  <r>
    <x v="493"/>
    <n v="13"/>
    <n v="3"/>
    <n v="1"/>
    <x v="2"/>
    <x v="12"/>
    <x v="0"/>
  </r>
  <r>
    <x v="350"/>
    <n v="17"/>
    <n v="5"/>
    <n v="1"/>
    <x v="2"/>
    <x v="7"/>
    <x v="3"/>
  </r>
  <r>
    <x v="82"/>
    <n v="13"/>
    <n v="-13"/>
    <n v="2"/>
    <x v="2"/>
    <x v="9"/>
    <x v="0"/>
  </r>
  <r>
    <x v="339"/>
    <n v="13"/>
    <n v="-9"/>
    <n v="2"/>
    <x v="2"/>
    <x v="9"/>
    <x v="0"/>
  </r>
  <r>
    <x v="126"/>
    <n v="1263"/>
    <n v="-56"/>
    <n v="5"/>
    <x v="2"/>
    <x v="5"/>
    <x v="1"/>
  </r>
  <r>
    <x v="494"/>
    <n v="1629"/>
    <n v="-153"/>
    <n v="3"/>
    <x v="0"/>
    <x v="4"/>
    <x v="0"/>
  </r>
  <r>
    <x v="74"/>
    <n v="17"/>
    <n v="7"/>
    <n v="3"/>
    <x v="2"/>
    <x v="7"/>
    <x v="3"/>
  </r>
  <r>
    <x v="34"/>
    <n v="17"/>
    <n v="2"/>
    <n v="2"/>
    <x v="2"/>
    <x v="9"/>
    <x v="3"/>
  </r>
  <r>
    <x v="1"/>
    <n v="1250"/>
    <n v="-12"/>
    <n v="2"/>
    <x v="0"/>
    <x v="3"/>
    <x v="1"/>
  </r>
  <r>
    <x v="16"/>
    <n v="17"/>
    <n v="-11"/>
    <n v="3"/>
    <x v="2"/>
    <x v="9"/>
    <x v="3"/>
  </r>
  <r>
    <x v="353"/>
    <n v="977"/>
    <n v="-244"/>
    <n v="7"/>
    <x v="0"/>
    <x v="4"/>
    <x v="0"/>
  </r>
  <r>
    <x v="495"/>
    <n v="1246"/>
    <n v="62"/>
    <n v="3"/>
    <x v="1"/>
    <x v="2"/>
    <x v="1"/>
  </r>
  <r>
    <x v="268"/>
    <n v="12"/>
    <n v="1"/>
    <n v="2"/>
    <x v="2"/>
    <x v="7"/>
    <x v="0"/>
  </r>
  <r>
    <x v="89"/>
    <n v="11"/>
    <n v="-4"/>
    <n v="2"/>
    <x v="2"/>
    <x v="9"/>
    <x v="0"/>
  </r>
  <r>
    <x v="87"/>
    <n v="1327"/>
    <n v="318"/>
    <n v="8"/>
    <x v="1"/>
    <x v="1"/>
    <x v="1"/>
  </r>
  <r>
    <x v="139"/>
    <n v="1319"/>
    <n v="567"/>
    <n v="5"/>
    <x v="0"/>
    <x v="3"/>
    <x v="0"/>
  </r>
  <r>
    <x v="275"/>
    <n v="1402"/>
    <n v="109"/>
    <n v="11"/>
    <x v="2"/>
    <x v="6"/>
    <x v="1"/>
  </r>
  <r>
    <x v="221"/>
    <n v="1514"/>
    <n v="742"/>
    <n v="4"/>
    <x v="0"/>
    <x v="3"/>
    <x v="1"/>
  </r>
  <r>
    <x v="5"/>
    <n v="1351"/>
    <n v="111"/>
    <n v="6"/>
    <x v="0"/>
    <x v="0"/>
    <x v="0"/>
  </r>
  <r>
    <x v="117"/>
    <n v="1355"/>
    <n v="-60"/>
    <n v="5"/>
    <x v="2"/>
    <x v="5"/>
    <x v="0"/>
  </r>
  <r>
    <x v="9"/>
    <n v="10"/>
    <n v="2"/>
    <n v="2"/>
    <x v="2"/>
    <x v="7"/>
    <x v="0"/>
  </r>
  <r>
    <x v="33"/>
    <n v="10"/>
    <n v="-2"/>
    <n v="2"/>
    <x v="2"/>
    <x v="12"/>
    <x v="0"/>
  </r>
  <r>
    <x v="496"/>
    <n v="1582"/>
    <n v="-443"/>
    <n v="6"/>
    <x v="2"/>
    <x v="5"/>
    <x v="1"/>
  </r>
  <r>
    <x v="101"/>
    <n v="1218"/>
    <n v="352"/>
    <n v="9"/>
    <x v="1"/>
    <x v="2"/>
    <x v="1"/>
  </r>
  <r>
    <x v="40"/>
    <n v="321"/>
    <n v="315"/>
    <n v="5"/>
    <x v="2"/>
    <x v="6"/>
    <x v="3"/>
  </r>
  <r>
    <x v="175"/>
    <n v="736"/>
    <n v="346"/>
    <n v="5"/>
    <x v="0"/>
    <x v="3"/>
    <x v="0"/>
  </r>
  <r>
    <x v="1"/>
    <n v="1218"/>
    <n v="-420"/>
    <n v="8"/>
    <x v="1"/>
    <x v="2"/>
    <x v="0"/>
  </r>
  <r>
    <x v="139"/>
    <n v="1027"/>
    <n v="441"/>
    <n v="8"/>
    <x v="2"/>
    <x v="6"/>
    <x v="0"/>
  </r>
  <r>
    <x v="223"/>
    <n v="10"/>
    <n v="5"/>
    <n v="1"/>
    <x v="2"/>
    <x v="11"/>
    <x v="0"/>
  </r>
  <r>
    <x v="426"/>
    <n v="2366"/>
    <n v="552"/>
    <n v="5"/>
    <x v="2"/>
    <x v="5"/>
    <x v="3"/>
  </r>
  <r>
    <x v="276"/>
    <n v="9"/>
    <n v="-6"/>
    <n v="2"/>
    <x v="2"/>
    <x v="7"/>
    <x v="0"/>
  </r>
  <r>
    <x v="39"/>
    <n v="16"/>
    <n v="-12"/>
    <n v="2"/>
    <x v="2"/>
    <x v="11"/>
    <x v="3"/>
  </r>
  <r>
    <x v="426"/>
    <n v="9"/>
    <n v="3"/>
    <n v="1"/>
    <x v="2"/>
    <x v="9"/>
    <x v="0"/>
  </r>
  <r>
    <x v="497"/>
    <n v="1560"/>
    <n v="421"/>
    <n v="3"/>
    <x v="2"/>
    <x v="5"/>
    <x v="0"/>
  </r>
  <r>
    <x v="164"/>
    <n v="1137"/>
    <n v="568"/>
    <n v="2"/>
    <x v="2"/>
    <x v="5"/>
    <x v="1"/>
  </r>
  <r>
    <x v="252"/>
    <n v="9"/>
    <n v="-9"/>
    <n v="2"/>
    <x v="2"/>
    <x v="8"/>
    <x v="0"/>
  </r>
  <r>
    <x v="19"/>
    <n v="15"/>
    <n v="-7"/>
    <n v="1"/>
    <x v="2"/>
    <x v="7"/>
    <x v="3"/>
  </r>
  <r>
    <x v="35"/>
    <n v="14"/>
    <n v="5"/>
    <n v="1"/>
    <x v="2"/>
    <x v="7"/>
    <x v="3"/>
  </r>
  <r>
    <x v="137"/>
    <n v="14"/>
    <n v="7"/>
    <n v="2"/>
    <x v="2"/>
    <x v="7"/>
    <x v="3"/>
  </r>
  <r>
    <x v="97"/>
    <n v="8"/>
    <n v="-2"/>
    <n v="2"/>
    <x v="2"/>
    <x v="7"/>
    <x v="0"/>
  </r>
  <r>
    <x v="93"/>
    <n v="1389"/>
    <n v="680"/>
    <n v="7"/>
    <x v="2"/>
    <x v="6"/>
    <x v="0"/>
  </r>
  <r>
    <x v="294"/>
    <n v="8"/>
    <n v="-1"/>
    <n v="2"/>
    <x v="2"/>
    <x v="12"/>
    <x v="0"/>
  </r>
  <r>
    <x v="498"/>
    <n v="8"/>
    <n v="-2"/>
    <n v="1"/>
    <x v="2"/>
    <x v="11"/>
    <x v="0"/>
  </r>
  <r>
    <x v="21"/>
    <n v="13"/>
    <n v="4"/>
    <n v="1"/>
    <x v="2"/>
    <x v="12"/>
    <x v="3"/>
  </r>
  <r>
    <x v="499"/>
    <n v="8"/>
    <n v="-6"/>
    <n v="1"/>
    <x v="2"/>
    <x v="11"/>
    <x v="0"/>
  </r>
  <r>
    <x v="44"/>
    <n v="12"/>
    <n v="2"/>
    <n v="2"/>
    <x v="2"/>
    <x v="9"/>
    <x v="2"/>
  </r>
  <r>
    <x v="2"/>
    <n v="1716"/>
    <n v="309"/>
    <n v="7"/>
    <x v="0"/>
    <x v="13"/>
    <x v="0"/>
  </r>
  <r>
    <x v="253"/>
    <n v="1117"/>
    <n v="447"/>
    <n v="10"/>
    <x v="1"/>
    <x v="2"/>
    <x v="1"/>
  </r>
  <r>
    <x v="15"/>
    <n v="9"/>
    <n v="-6"/>
    <n v="2"/>
    <x v="2"/>
    <x v="9"/>
    <x v="2"/>
  </r>
  <r>
    <x v="28"/>
    <n v="332"/>
    <n v="503"/>
    <n v="3"/>
    <x v="0"/>
    <x v="3"/>
    <x v="0"/>
  </r>
  <r>
    <x v="15"/>
    <n v="7"/>
    <n v="-4"/>
    <n v="3"/>
    <x v="2"/>
    <x v="7"/>
    <x v="0"/>
  </r>
  <r>
    <x v="314"/>
    <n v="8"/>
    <n v="-2"/>
    <n v="3"/>
    <x v="2"/>
    <x v="7"/>
    <x v="2"/>
  </r>
  <r>
    <x v="363"/>
    <n v="2061"/>
    <n v="701"/>
    <n v="5"/>
    <x v="1"/>
    <x v="2"/>
    <x v="3"/>
  </r>
  <r>
    <x v="438"/>
    <n v="1103"/>
    <n v="276"/>
    <n v="3"/>
    <x v="1"/>
    <x v="1"/>
    <x v="1"/>
  </r>
  <r>
    <x v="278"/>
    <n v="2103"/>
    <n v="322"/>
    <n v="8"/>
    <x v="0"/>
    <x v="0"/>
    <x v="3"/>
  </r>
  <r>
    <x v="5"/>
    <n v="2115"/>
    <n v="23"/>
    <n v="5"/>
    <x v="1"/>
    <x v="1"/>
    <x v="0"/>
  </r>
  <r>
    <x v="20"/>
    <n v="850"/>
    <n v="-289"/>
    <n v="5"/>
    <x v="0"/>
    <x v="0"/>
    <x v="0"/>
  </r>
  <r>
    <x v="25"/>
    <n v="1063"/>
    <n v="64"/>
    <n v="7"/>
    <x v="0"/>
    <x v="4"/>
    <x v="1"/>
  </r>
  <r>
    <x v="446"/>
    <n v="1063"/>
    <n v="-175"/>
    <n v="4"/>
    <x v="0"/>
    <x v="0"/>
    <x v="1"/>
  </r>
  <r>
    <x v="289"/>
    <n v="2292"/>
    <n v="127"/>
    <n v="7"/>
    <x v="1"/>
    <x v="2"/>
    <x v="0"/>
  </r>
  <r>
    <x v="258"/>
    <n v="7"/>
    <n v="-1"/>
    <n v="2"/>
    <x v="2"/>
    <x v="7"/>
    <x v="2"/>
  </r>
  <r>
    <x v="404"/>
    <n v="2452"/>
    <n v="191"/>
    <n v="7"/>
    <x v="1"/>
    <x v="2"/>
    <x v="3"/>
  </r>
  <r>
    <x v="155"/>
    <n v="2457"/>
    <n v="665"/>
    <n v="11"/>
    <x v="0"/>
    <x v="0"/>
    <x v="1"/>
  </r>
  <r>
    <x v="69"/>
    <n v="4"/>
    <n v="-3"/>
    <n v="1"/>
    <x v="2"/>
    <x v="9"/>
    <x v="2"/>
  </r>
  <r>
    <x v="176"/>
    <n v="2830"/>
    <n v="-1981"/>
    <n v="13"/>
    <x v="1"/>
    <x v="2"/>
    <x v="1"/>
  </r>
  <r>
    <x v="154"/>
    <n v="7"/>
    <n v="1"/>
    <n v="1"/>
    <x v="2"/>
    <x v="7"/>
    <x v="0"/>
  </r>
  <r>
    <x v="406"/>
    <n v="7"/>
    <n v="0"/>
    <n v="2"/>
    <x v="2"/>
    <x v="9"/>
    <x v="0"/>
  </r>
  <r>
    <x v="236"/>
    <n v="7"/>
    <n v="-3"/>
    <n v="2"/>
    <x v="2"/>
    <x v="7"/>
    <x v="0"/>
  </r>
  <r>
    <x v="74"/>
    <n v="3151"/>
    <n v="-35"/>
    <n v="7"/>
    <x v="2"/>
    <x v="5"/>
    <x v="1"/>
  </r>
  <r>
    <x v="193"/>
    <n v="4141"/>
    <n v="1698"/>
    <n v="13"/>
    <x v="0"/>
    <x v="3"/>
    <x v="0"/>
  </r>
  <r>
    <x v="150"/>
    <n v="7"/>
    <n v="-2"/>
    <n v="1"/>
    <x v="2"/>
    <x v="7"/>
    <x v="0"/>
  </r>
  <r>
    <x v="132"/>
    <n v="4363"/>
    <n v="305"/>
    <n v="5"/>
    <x v="1"/>
    <x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1A293-9840-4E54-ABE4-89AC4B9FD93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19:H23" firstHeaderRow="1" firstDataRow="1" firstDataCol="1"/>
  <pivotFields count="8">
    <pivotField showAll="0"/>
    <pivotField numFmtId="164" showAll="0"/>
    <pivotField numFmtId="164" showAll="0"/>
    <pivotField dataField="1" numFmtId="1" showAll="0"/>
    <pivotField showAll="0">
      <items count="4">
        <item x="2"/>
        <item x="0"/>
        <item x="1"/>
        <item t="default"/>
      </items>
    </pivotField>
    <pivotField axis="axisRow" showAll="0" measureFilter="1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>
      <items count="6">
        <item x="0"/>
        <item x="2"/>
        <item x="4"/>
        <item x="1"/>
        <item x="3"/>
        <item t="default"/>
      </items>
    </pivotField>
    <pivotField dragToRow="0" dragToCol="0" dragToPage="0" showAll="0" defaultSubtotal="0"/>
  </pivotFields>
  <rowFields count="1">
    <field x="5"/>
  </rowFields>
  <rowItems count="4">
    <i>
      <x v="5"/>
    </i>
    <i>
      <x v="10"/>
    </i>
    <i>
      <x v="13"/>
    </i>
    <i t="grand">
      <x/>
    </i>
  </rowItems>
  <colItems count="1">
    <i/>
  </colItems>
  <dataFields count="1">
    <dataField name="Sum of quantity" fld="3" baseField="0" baseItem="0" numFmtId="1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91092-A382-4DEF-B840-66A4B5F7EA2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9:E23" firstHeaderRow="1" firstDataRow="1" firstDataCol="1"/>
  <pivotFields count="8">
    <pivotField showAll="0"/>
    <pivotField numFmtId="164" showAll="0"/>
    <pivotField dataField="1" numFmtId="164" showAll="0"/>
    <pivotField numFmtId="1" showAll="0"/>
    <pivotField showAll="0">
      <items count="4">
        <item x="2"/>
        <item x="0"/>
        <item x="1"/>
        <item t="default"/>
      </items>
    </pivotField>
    <pivotField axis="axisRow" showAll="0" measureFilter="1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>
      <items count="6">
        <item x="0"/>
        <item x="2"/>
        <item x="4"/>
        <item x="1"/>
        <item x="3"/>
        <item t="default"/>
      </items>
    </pivotField>
    <pivotField dragToRow="0" dragToCol="0" dragToPage="0" showAll="0" defaultSubtotal="0"/>
  </pivotFields>
  <rowFields count="1">
    <field x="5"/>
  </rowFields>
  <rowItems count="4">
    <i>
      <x v="1"/>
    </i>
    <i>
      <x v="9"/>
    </i>
    <i>
      <x v="10"/>
    </i>
    <i t="grand">
      <x/>
    </i>
  </rowItems>
  <colItems count="1">
    <i/>
  </colItems>
  <dataFields count="1">
    <dataField name="Sum of profit" fld="2" baseField="0" baseItem="0" numFmtId="164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5B6DD-4392-4C3F-B89A-FF7BFFBD5C3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0:F16" firstHeaderRow="0" firstDataRow="1" firstDataCol="1"/>
  <pivotFields count="8">
    <pivotField showAll="0"/>
    <pivotField numFmtId="164" showAll="0"/>
    <pivotField dataField="1" numFmtId="164" showAll="0"/>
    <pivotField dataField="1" numFmtId="1" showAll="0"/>
    <pivotField showAll="0">
      <items count="4">
        <item x="2"/>
        <item x="0"/>
        <item x="1"/>
        <item t="default"/>
      </items>
    </pivotField>
    <pivotField showAll="0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axis="axisRow" showAll="0">
      <items count="6">
        <item x="0"/>
        <item x="2"/>
        <item x="4"/>
        <item x="1"/>
        <item x="3"/>
        <item t="default"/>
      </items>
    </pivotField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baseField="0" baseItem="0" numFmtId="164"/>
    <dataField name="Sum of quantity" fld="3" baseField="0" baseItem="0" numFmtId="1"/>
  </dataFields>
  <chartFormats count="5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455EC-CC94-48EE-8CC5-F5B7932BA3D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F7" firstHeaderRow="0" firstDataRow="1" firstDataCol="1"/>
  <pivotFields count="8">
    <pivotField showAll="0"/>
    <pivotField numFmtId="164" showAll="0"/>
    <pivotField dataField="1" numFmtId="164" showAll="0"/>
    <pivotField dataField="1" numFmtId="1" showAll="0"/>
    <pivotField axis="axisRow" showAll="0">
      <items count="4">
        <item x="2"/>
        <item x="0"/>
        <item x="1"/>
        <item t="default"/>
      </items>
    </pivotField>
    <pivotField showAll="0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>
      <items count="6">
        <item x="0"/>
        <item x="2"/>
        <item x="4"/>
        <item x="1"/>
        <item x="3"/>
        <item t="default"/>
      </items>
    </pivotField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baseField="0" baseItem="0" numFmtId="164"/>
    <dataField name="Sum of quantity" fld="3" baseField="0" baseItem="0" numFmtId="1"/>
  </dataFields>
  <chartFormats count="2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42074-E268-4C87-8224-B8715CB8024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9" firstHeaderRow="1" firstDataRow="1" firstDataCol="1"/>
  <pivotFields count="8">
    <pivotField showAll="0"/>
    <pivotField numFmtId="164" showAll="0"/>
    <pivotField dataField="1" numFmtId="164" showAll="0"/>
    <pivotField numFmtId="1" showAll="0"/>
    <pivotField showAll="0"/>
    <pivotField axis="axisRow" showAll="0" measureFilter="1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/>
    <pivotField dragToRow="0" dragToCol="0" dragToPage="0" showAll="0" defaultSubtotal="0"/>
  </pivotFields>
  <rowFields count="1">
    <field x="5"/>
  </rowFields>
  <rowItems count="6">
    <i>
      <x/>
    </i>
    <i>
      <x v="1"/>
    </i>
    <i>
      <x v="9"/>
    </i>
    <i>
      <x v="10"/>
    </i>
    <i>
      <x v="14"/>
    </i>
    <i t="grand">
      <x/>
    </i>
  </rowItems>
  <colItems count="1">
    <i/>
  </colItems>
  <dataFields count="1">
    <dataField name="Sum of profit" fld="2" baseField="0" baseItem="0" numFmtId="164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E42B4-8990-40ED-8BEC-3010773BBC9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9:M25" firstHeaderRow="0" firstDataRow="1" firstDataCol="1"/>
  <pivotFields count="8">
    <pivotField dataField="1" showAll="0"/>
    <pivotField dataField="1" numFmtId="164" showAll="0"/>
    <pivotField dataField="1" numFmtId="164" showAll="0"/>
    <pivotField numFmtId="1" showAll="0"/>
    <pivotField showAll="0"/>
    <pivotField showAll="0"/>
    <pivotField axis="axisRow"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dragToRow="0" dragToCol="0" dragToPage="0" showAll="0" defaultSubtotal="0"/>
  </pivotFields>
  <rowFields count="1">
    <field x="6"/>
  </rowFields>
  <rowItems count="6">
    <i>
      <x v="1"/>
    </i>
    <i>
      <x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der_id" fld="0" subtotal="count" baseField="0" baseItem="0"/>
    <dataField name="Sum of amount" fld="1" baseField="0" baseItem="0" numFmtId="164"/>
    <dataField name="Average of amount" fld="1" subtotal="average" baseField="6" baseItem="0" numFmtId="164"/>
    <dataField name="Sum of profit" fld="2" baseField="0" baseItem="0" numFmtId="164"/>
    <dataField name="Average of Profit Margin" fld="7" subtotal="average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8A98E-D0DB-404D-918F-FC2F3562038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S504" firstHeaderRow="0" firstDataRow="1" firstDataCol="1"/>
  <pivotFields count="8">
    <pivotField axis="axisRow" showAll="0">
      <items count="501">
        <item x="314"/>
        <item x="4"/>
        <item x="117"/>
        <item x="292"/>
        <item x="436"/>
        <item x="364"/>
        <item x="119"/>
        <item x="57"/>
        <item x="158"/>
        <item x="233"/>
        <item x="391"/>
        <item x="235"/>
        <item x="47"/>
        <item x="408"/>
        <item x="288"/>
        <item x="77"/>
        <item x="444"/>
        <item x="38"/>
        <item x="470"/>
        <item x="307"/>
        <item x="207"/>
        <item x="463"/>
        <item x="304"/>
        <item x="477"/>
        <item x="266"/>
        <item x="438"/>
        <item x="419"/>
        <item x="204"/>
        <item x="497"/>
        <item x="197"/>
        <item x="361"/>
        <item x="107"/>
        <item x="157"/>
        <item x="457"/>
        <item x="227"/>
        <item x="473"/>
        <item x="355"/>
        <item x="327"/>
        <item x="494"/>
        <item x="50"/>
        <item x="337"/>
        <item x="215"/>
        <item x="8"/>
        <item x="379"/>
        <item x="226"/>
        <item x="325"/>
        <item x="345"/>
        <item x="186"/>
        <item x="474"/>
        <item x="104"/>
        <item x="89"/>
        <item x="276"/>
        <item x="87"/>
        <item x="173"/>
        <item x="15"/>
        <item x="93"/>
        <item x="111"/>
        <item x="149"/>
        <item x="384"/>
        <item x="242"/>
        <item x="258"/>
        <item x="129"/>
        <item x="442"/>
        <item x="214"/>
        <item x="393"/>
        <item x="78"/>
        <item x="70"/>
        <item x="395"/>
        <item x="486"/>
        <item x="123"/>
        <item x="484"/>
        <item x="480"/>
        <item x="189"/>
        <item x="65"/>
        <item x="79"/>
        <item x="126"/>
        <item x="443"/>
        <item x="183"/>
        <item x="380"/>
        <item x="281"/>
        <item x="0"/>
        <item x="143"/>
        <item x="368"/>
        <item x="320"/>
        <item x="429"/>
        <item x="28"/>
        <item x="7"/>
        <item x="255"/>
        <item x="171"/>
        <item x="464"/>
        <item x="118"/>
        <item x="461"/>
        <item x="82"/>
        <item x="394"/>
        <item x="400"/>
        <item x="6"/>
        <item x="69"/>
        <item x="150"/>
        <item x="247"/>
        <item x="236"/>
        <item x="178"/>
        <item x="437"/>
        <item x="10"/>
        <item x="90"/>
        <item x="450"/>
        <item x="403"/>
        <item x="499"/>
        <item x="120"/>
        <item x="319"/>
        <item x="36"/>
        <item x="349"/>
        <item x="311"/>
        <item x="398"/>
        <item x="55"/>
        <item x="455"/>
        <item x="385"/>
        <item x="195"/>
        <item x="454"/>
        <item x="324"/>
        <item x="174"/>
        <item x="308"/>
        <item x="433"/>
        <item x="39"/>
        <item x="293"/>
        <item x="386"/>
        <item x="465"/>
        <item x="208"/>
        <item x="73"/>
        <item x="48"/>
        <item x="91"/>
        <item x="323"/>
        <item x="389"/>
        <item x="234"/>
        <item x="348"/>
        <item x="19"/>
        <item x="335"/>
        <item x="282"/>
        <item x="312"/>
        <item x="321"/>
        <item x="406"/>
        <item x="210"/>
        <item x="336"/>
        <item x="192"/>
        <item x="22"/>
        <item x="220"/>
        <item x="434"/>
        <item x="116"/>
        <item x="294"/>
        <item x="144"/>
        <item x="110"/>
        <item x="230"/>
        <item x="97"/>
        <item x="256"/>
        <item x="29"/>
        <item x="40"/>
        <item x="13"/>
        <item x="74"/>
        <item x="498"/>
        <item x="115"/>
        <item x="60"/>
        <item x="14"/>
        <item x="61"/>
        <item x="405"/>
        <item x="309"/>
        <item x="318"/>
        <item x="416"/>
        <item x="252"/>
        <item x="496"/>
        <item x="453"/>
        <item x="217"/>
        <item x="313"/>
        <item x="49"/>
        <item x="257"/>
        <item x="341"/>
        <item x="428"/>
        <item x="248"/>
        <item x="67"/>
        <item x="27"/>
        <item x="43"/>
        <item x="373"/>
        <item x="244"/>
        <item x="452"/>
        <item x="356"/>
        <item x="56"/>
        <item x="134"/>
        <item x="16"/>
        <item x="112"/>
        <item x="41"/>
        <item x="388"/>
        <item x="448"/>
        <item x="190"/>
        <item x="381"/>
        <item x="275"/>
        <item x="287"/>
        <item x="273"/>
        <item x="131"/>
        <item x="37"/>
        <item x="176"/>
        <item x="240"/>
        <item x="305"/>
        <item x="52"/>
        <item x="339"/>
        <item x="140"/>
        <item x="347"/>
        <item x="352"/>
        <item x="475"/>
        <item x="491"/>
        <item x="113"/>
        <item x="254"/>
        <item x="51"/>
        <item x="439"/>
        <item x="435"/>
        <item x="489"/>
        <item x="360"/>
        <item x="469"/>
        <item x="31"/>
        <item x="482"/>
        <item x="166"/>
        <item x="181"/>
        <item x="358"/>
        <item x="108"/>
        <item x="459"/>
        <item x="278"/>
        <item x="424"/>
        <item x="317"/>
        <item x="476"/>
        <item x="397"/>
        <item x="148"/>
        <item x="449"/>
        <item x="25"/>
        <item x="122"/>
        <item x="151"/>
        <item x="392"/>
        <item x="340"/>
        <item x="167"/>
        <item x="71"/>
        <item x="169"/>
        <item x="298"/>
        <item x="88"/>
        <item x="218"/>
        <item x="487"/>
        <item x="26"/>
        <item x="209"/>
        <item x="315"/>
        <item x="23"/>
        <item x="219"/>
        <item x="130"/>
        <item x="182"/>
        <item x="372"/>
        <item x="81"/>
        <item x="9"/>
        <item x="83"/>
        <item x="18"/>
        <item x="202"/>
        <item x="139"/>
        <item x="237"/>
        <item x="259"/>
        <item x="155"/>
        <item x="481"/>
        <item x="84"/>
        <item x="239"/>
        <item x="363"/>
        <item x="280"/>
        <item x="350"/>
        <item x="413"/>
        <item x="427"/>
        <item x="156"/>
        <item x="54"/>
        <item x="370"/>
        <item x="138"/>
        <item x="390"/>
        <item x="272"/>
        <item x="154"/>
        <item x="326"/>
        <item x="283"/>
        <item x="440"/>
        <item x="164"/>
        <item x="109"/>
        <item x="407"/>
        <item x="401"/>
        <item x="5"/>
        <item x="328"/>
        <item x="33"/>
        <item x="479"/>
        <item x="114"/>
        <item x="152"/>
        <item x="11"/>
        <item x="127"/>
        <item x="354"/>
        <item x="490"/>
        <item x="205"/>
        <item x="374"/>
        <item x="170"/>
        <item x="495"/>
        <item x="194"/>
        <item x="159"/>
        <item x="153"/>
        <item x="85"/>
        <item x="146"/>
        <item x="59"/>
        <item x="346"/>
        <item x="274"/>
        <item x="103"/>
        <item x="342"/>
        <item x="165"/>
        <item x="377"/>
        <item x="466"/>
        <item x="285"/>
        <item x="44"/>
        <item x="20"/>
        <item x="128"/>
        <item x="344"/>
        <item x="263"/>
        <item x="369"/>
        <item x="225"/>
        <item x="432"/>
        <item x="333"/>
        <item x="245"/>
        <item x="353"/>
        <item x="331"/>
        <item x="371"/>
        <item x="425"/>
        <item x="12"/>
        <item x="359"/>
        <item x="184"/>
        <item x="261"/>
        <item x="301"/>
        <item x="365"/>
        <item x="66"/>
        <item x="133"/>
        <item x="441"/>
        <item x="387"/>
        <item x="187"/>
        <item x="343"/>
        <item x="46"/>
        <item x="451"/>
        <item x="492"/>
        <item x="357"/>
        <item x="376"/>
        <item x="161"/>
        <item x="402"/>
        <item x="188"/>
        <item x="45"/>
        <item x="399"/>
        <item x="95"/>
        <item x="382"/>
        <item x="417"/>
        <item x="302"/>
        <item x="351"/>
        <item x="21"/>
        <item x="147"/>
        <item x="102"/>
        <item x="101"/>
        <item x="296"/>
        <item x="2"/>
        <item x="362"/>
        <item x="75"/>
        <item x="338"/>
        <item x="125"/>
        <item x="332"/>
        <item x="177"/>
        <item x="145"/>
        <item x="367"/>
        <item x="203"/>
        <item x="63"/>
        <item x="200"/>
        <item x="64"/>
        <item x="483"/>
        <item x="404"/>
        <item x="105"/>
        <item x="246"/>
        <item x="334"/>
        <item x="193"/>
        <item x="478"/>
        <item x="468"/>
        <item x="412"/>
        <item x="185"/>
        <item x="446"/>
        <item x="268"/>
        <item x="163"/>
        <item x="232"/>
        <item x="493"/>
        <item x="191"/>
        <item x="72"/>
        <item x="249"/>
        <item x="100"/>
        <item x="216"/>
        <item x="375"/>
        <item x="223"/>
        <item x="290"/>
        <item x="42"/>
        <item x="383"/>
        <item x="132"/>
        <item x="279"/>
        <item x="62"/>
        <item x="141"/>
        <item x="289"/>
        <item x="271"/>
        <item x="260"/>
        <item x="160"/>
        <item x="24"/>
        <item x="269"/>
        <item x="34"/>
        <item x="295"/>
        <item x="366"/>
        <item x="68"/>
        <item x="212"/>
        <item x="300"/>
        <item x="224"/>
        <item x="267"/>
        <item x="410"/>
        <item x="423"/>
        <item x="467"/>
        <item x="229"/>
        <item x="458"/>
        <item x="180"/>
        <item x="378"/>
        <item x="277"/>
        <item x="136"/>
        <item x="264"/>
        <item x="121"/>
        <item x="32"/>
        <item x="253"/>
        <item x="396"/>
        <item x="231"/>
        <item x="238"/>
        <item x="420"/>
        <item x="172"/>
        <item x="124"/>
        <item x="222"/>
        <item x="284"/>
        <item x="251"/>
        <item x="94"/>
        <item x="460"/>
        <item x="199"/>
        <item x="445"/>
        <item x="330"/>
        <item x="228"/>
        <item x="306"/>
        <item x="329"/>
        <item x="286"/>
        <item x="299"/>
        <item x="297"/>
        <item x="472"/>
        <item x="243"/>
        <item x="462"/>
        <item x="415"/>
        <item x="30"/>
        <item x="414"/>
        <item x="198"/>
        <item x="58"/>
        <item x="92"/>
        <item x="135"/>
        <item x="241"/>
        <item x="1"/>
        <item x="179"/>
        <item x="175"/>
        <item x="471"/>
        <item x="485"/>
        <item x="201"/>
        <item x="76"/>
        <item x="106"/>
        <item x="250"/>
        <item x="196"/>
        <item x="316"/>
        <item x="310"/>
        <item x="99"/>
        <item x="421"/>
        <item x="418"/>
        <item x="137"/>
        <item x="488"/>
        <item x="431"/>
        <item x="221"/>
        <item x="411"/>
        <item x="456"/>
        <item x="262"/>
        <item x="447"/>
        <item x="142"/>
        <item x="80"/>
        <item x="422"/>
        <item x="168"/>
        <item x="322"/>
        <item x="265"/>
        <item x="270"/>
        <item x="53"/>
        <item x="96"/>
        <item x="162"/>
        <item x="213"/>
        <item x="206"/>
        <item x="430"/>
        <item x="291"/>
        <item x="409"/>
        <item x="3"/>
        <item x="303"/>
        <item x="17"/>
        <item x="211"/>
        <item x="35"/>
        <item x="98"/>
        <item x="426"/>
        <item x="86"/>
        <item t="default"/>
      </items>
    </pivotField>
    <pivotField dataField="1" numFmtId="164" showAll="0"/>
    <pivotField dataField="1" numFmtId="164" showAll="0"/>
    <pivotField dataField="1" numFmtId="1"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 numFmtId="164"/>
    <dataField name="Sum of profit" fld="2" baseField="0" baseItem="0" numFmtId="164"/>
    <dataField name="Count of quantit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E7D34-20F9-42F5-9874-3BC9D302C0A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2:L16" firstHeaderRow="0" firstDataRow="1" firstDataCol="1"/>
  <pivotFields count="8">
    <pivotField showAll="0"/>
    <pivotField dataField="1" numFmtId="164" showAll="0"/>
    <pivotField dataField="1" numFmtId="164" showAll="0"/>
    <pivotField dataField="1" numFmtId="1"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/>
    <pivotField dataField="1"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mount" fld="1" baseField="0" baseItem="0" numFmtId="164"/>
    <dataField name="Sum of profit" fld="2" baseField="0" baseItem="0" numFmtId="164"/>
    <dataField name="Sum of quantity" fld="3" baseField="0" baseItem="0" numFmtId="1"/>
    <dataField name="Average of Profit Margin" fld="7" subtotal="average" baseField="4" baseItem="0" numFmtId="10"/>
  </dataFields>
  <conditionalFormats count="4"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3">
              <x v="0"/>
              <x v="1"/>
              <x v="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3">
              <x v="0"/>
              <x v="1"/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4" count="3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776E5-0A9E-4EB6-B88A-2823CEF5F29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M9" firstHeaderRow="0" firstDataRow="1" firstDataCol="1"/>
  <pivotFields count="8">
    <pivotField dataField="1" showAll="0"/>
    <pivotField dataField="1" numFmtId="164" showAll="0"/>
    <pivotField dataField="1" numFmtId="164" showAll="0"/>
    <pivotField numFmtId="1" showAll="0"/>
    <pivotField showAll="0"/>
    <pivotField showAll="0"/>
    <pivotField axis="axisRow"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dragToRow="0" dragToCol="0" dragToPage="0" showAll="0" defaultSubtotal="0"/>
  </pivotFields>
  <rowFields count="1">
    <field x="6"/>
  </rowFields>
  <rowItems count="6">
    <i>
      <x v="3"/>
    </i>
    <i>
      <x v="1"/>
    </i>
    <i>
      <x v="2"/>
    </i>
    <i>
      <x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der_id" fld="0" subtotal="count" baseField="0" baseItem="0"/>
    <dataField name="Sum of amount" fld="1" baseField="0" baseItem="0" numFmtId="164"/>
    <dataField name="Average of amount" fld="1" subtotal="average" baseField="0" baseItem="0" numFmtId="164"/>
    <dataField name="Sum of profit" fld="2" baseField="0" baseItem="0" numFmtId="164"/>
    <dataField name="Average of Profit Margin" fld="7" subtotal="average" baseField="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E9D71-BD4F-4409-80F9-2C047C99036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21" firstHeaderRow="0" firstDataRow="1" firstDataCol="1" rowPageCount="1" colPageCount="1"/>
  <pivotFields count="8">
    <pivotField showAll="0">
      <items count="501">
        <item x="314"/>
        <item x="4"/>
        <item x="117"/>
        <item x="292"/>
        <item x="436"/>
        <item x="364"/>
        <item x="119"/>
        <item x="57"/>
        <item x="158"/>
        <item x="233"/>
        <item x="391"/>
        <item x="235"/>
        <item x="47"/>
        <item x="408"/>
        <item x="288"/>
        <item x="77"/>
        <item x="444"/>
        <item x="38"/>
        <item x="470"/>
        <item x="307"/>
        <item x="207"/>
        <item x="463"/>
        <item x="304"/>
        <item x="477"/>
        <item x="266"/>
        <item x="438"/>
        <item x="419"/>
        <item x="204"/>
        <item x="497"/>
        <item x="197"/>
        <item x="361"/>
        <item x="107"/>
        <item x="157"/>
        <item x="457"/>
        <item x="227"/>
        <item x="473"/>
        <item x="355"/>
        <item x="327"/>
        <item x="494"/>
        <item x="50"/>
        <item x="337"/>
        <item x="215"/>
        <item x="8"/>
        <item x="379"/>
        <item x="226"/>
        <item x="325"/>
        <item x="345"/>
        <item x="186"/>
        <item x="474"/>
        <item x="104"/>
        <item x="89"/>
        <item x="276"/>
        <item x="87"/>
        <item x="173"/>
        <item x="15"/>
        <item x="93"/>
        <item x="111"/>
        <item x="149"/>
        <item x="384"/>
        <item x="242"/>
        <item x="258"/>
        <item x="129"/>
        <item x="442"/>
        <item x="214"/>
        <item x="393"/>
        <item x="78"/>
        <item x="70"/>
        <item x="395"/>
        <item x="486"/>
        <item x="123"/>
        <item x="484"/>
        <item x="480"/>
        <item x="189"/>
        <item x="65"/>
        <item x="79"/>
        <item x="126"/>
        <item x="443"/>
        <item x="183"/>
        <item x="380"/>
        <item x="281"/>
        <item x="0"/>
        <item x="143"/>
        <item x="368"/>
        <item x="320"/>
        <item x="429"/>
        <item x="28"/>
        <item x="7"/>
        <item x="255"/>
        <item x="171"/>
        <item x="464"/>
        <item x="118"/>
        <item x="461"/>
        <item x="82"/>
        <item x="394"/>
        <item x="400"/>
        <item x="6"/>
        <item x="69"/>
        <item x="150"/>
        <item x="247"/>
        <item x="236"/>
        <item x="178"/>
        <item x="437"/>
        <item x="10"/>
        <item x="90"/>
        <item x="450"/>
        <item x="403"/>
        <item x="499"/>
        <item x="120"/>
        <item x="319"/>
        <item x="36"/>
        <item x="349"/>
        <item x="311"/>
        <item x="398"/>
        <item x="55"/>
        <item x="455"/>
        <item x="385"/>
        <item x="195"/>
        <item x="454"/>
        <item x="324"/>
        <item x="174"/>
        <item x="308"/>
        <item x="433"/>
        <item x="39"/>
        <item x="293"/>
        <item x="386"/>
        <item x="465"/>
        <item x="208"/>
        <item x="73"/>
        <item x="48"/>
        <item x="91"/>
        <item x="323"/>
        <item x="389"/>
        <item x="234"/>
        <item x="348"/>
        <item x="19"/>
        <item x="335"/>
        <item x="282"/>
        <item x="312"/>
        <item x="321"/>
        <item x="406"/>
        <item x="210"/>
        <item x="336"/>
        <item x="192"/>
        <item x="22"/>
        <item x="220"/>
        <item x="434"/>
        <item x="116"/>
        <item x="294"/>
        <item x="144"/>
        <item x="110"/>
        <item x="230"/>
        <item x="97"/>
        <item x="256"/>
        <item x="29"/>
        <item x="40"/>
        <item x="13"/>
        <item x="74"/>
        <item x="498"/>
        <item x="115"/>
        <item x="60"/>
        <item x="14"/>
        <item x="61"/>
        <item x="405"/>
        <item x="309"/>
        <item x="318"/>
        <item x="416"/>
        <item x="252"/>
        <item x="496"/>
        <item x="453"/>
        <item x="217"/>
        <item x="313"/>
        <item x="49"/>
        <item x="257"/>
        <item x="341"/>
        <item x="428"/>
        <item x="248"/>
        <item x="67"/>
        <item x="27"/>
        <item x="43"/>
        <item x="373"/>
        <item x="244"/>
        <item x="452"/>
        <item x="356"/>
        <item x="56"/>
        <item x="134"/>
        <item x="16"/>
        <item x="112"/>
        <item x="41"/>
        <item x="388"/>
        <item x="448"/>
        <item x="190"/>
        <item x="381"/>
        <item x="275"/>
        <item x="287"/>
        <item x="273"/>
        <item x="131"/>
        <item x="37"/>
        <item x="176"/>
        <item x="240"/>
        <item x="305"/>
        <item x="52"/>
        <item x="339"/>
        <item x="140"/>
        <item x="347"/>
        <item x="352"/>
        <item x="475"/>
        <item x="491"/>
        <item x="113"/>
        <item x="254"/>
        <item x="51"/>
        <item x="439"/>
        <item x="435"/>
        <item x="489"/>
        <item x="360"/>
        <item x="469"/>
        <item x="31"/>
        <item x="482"/>
        <item x="166"/>
        <item x="181"/>
        <item x="358"/>
        <item x="108"/>
        <item x="459"/>
        <item x="278"/>
        <item x="424"/>
        <item x="317"/>
        <item x="476"/>
        <item x="397"/>
        <item x="148"/>
        <item x="449"/>
        <item x="25"/>
        <item x="122"/>
        <item x="151"/>
        <item x="392"/>
        <item x="340"/>
        <item x="167"/>
        <item x="71"/>
        <item x="169"/>
        <item x="298"/>
        <item x="88"/>
        <item x="218"/>
        <item x="487"/>
        <item x="26"/>
        <item x="209"/>
        <item x="315"/>
        <item x="23"/>
        <item x="219"/>
        <item x="130"/>
        <item x="182"/>
        <item x="372"/>
        <item x="81"/>
        <item x="9"/>
        <item x="83"/>
        <item x="18"/>
        <item x="202"/>
        <item x="139"/>
        <item x="237"/>
        <item x="259"/>
        <item x="155"/>
        <item x="481"/>
        <item x="84"/>
        <item x="239"/>
        <item x="363"/>
        <item x="280"/>
        <item x="350"/>
        <item x="413"/>
        <item x="427"/>
        <item x="156"/>
        <item x="54"/>
        <item x="370"/>
        <item x="138"/>
        <item x="390"/>
        <item x="272"/>
        <item x="154"/>
        <item x="326"/>
        <item x="283"/>
        <item x="440"/>
        <item x="164"/>
        <item x="109"/>
        <item x="407"/>
        <item x="401"/>
        <item x="5"/>
        <item x="328"/>
        <item x="33"/>
        <item x="479"/>
        <item x="114"/>
        <item x="152"/>
        <item x="11"/>
        <item x="127"/>
        <item x="354"/>
        <item x="490"/>
        <item x="205"/>
        <item x="374"/>
        <item x="170"/>
        <item x="495"/>
        <item x="194"/>
        <item x="159"/>
        <item x="153"/>
        <item x="85"/>
        <item x="146"/>
        <item x="59"/>
        <item x="346"/>
        <item x="274"/>
        <item x="103"/>
        <item x="342"/>
        <item x="165"/>
        <item x="377"/>
        <item x="466"/>
        <item x="285"/>
        <item x="44"/>
        <item x="20"/>
        <item x="128"/>
        <item x="344"/>
        <item x="263"/>
        <item x="369"/>
        <item x="225"/>
        <item x="432"/>
        <item x="333"/>
        <item x="245"/>
        <item x="353"/>
        <item x="331"/>
        <item x="371"/>
        <item x="425"/>
        <item x="12"/>
        <item x="359"/>
        <item x="184"/>
        <item x="261"/>
        <item x="301"/>
        <item x="365"/>
        <item x="66"/>
        <item x="133"/>
        <item x="441"/>
        <item x="387"/>
        <item x="187"/>
        <item x="343"/>
        <item x="46"/>
        <item x="451"/>
        <item x="492"/>
        <item x="357"/>
        <item x="376"/>
        <item x="161"/>
        <item x="402"/>
        <item x="188"/>
        <item x="45"/>
        <item x="399"/>
        <item x="95"/>
        <item x="382"/>
        <item x="417"/>
        <item x="302"/>
        <item x="351"/>
        <item x="21"/>
        <item x="147"/>
        <item x="102"/>
        <item x="101"/>
        <item x="296"/>
        <item x="2"/>
        <item x="362"/>
        <item x="75"/>
        <item x="338"/>
        <item x="125"/>
        <item x="332"/>
        <item x="177"/>
        <item x="145"/>
        <item x="367"/>
        <item x="203"/>
        <item x="63"/>
        <item x="200"/>
        <item x="64"/>
        <item x="483"/>
        <item x="404"/>
        <item x="105"/>
        <item x="246"/>
        <item x="334"/>
        <item x="193"/>
        <item x="478"/>
        <item x="468"/>
        <item x="412"/>
        <item x="185"/>
        <item x="446"/>
        <item x="268"/>
        <item x="163"/>
        <item x="232"/>
        <item x="493"/>
        <item x="191"/>
        <item x="72"/>
        <item x="249"/>
        <item x="100"/>
        <item x="216"/>
        <item x="375"/>
        <item x="223"/>
        <item x="290"/>
        <item x="42"/>
        <item x="383"/>
        <item x="132"/>
        <item x="279"/>
        <item x="62"/>
        <item x="141"/>
        <item x="289"/>
        <item x="271"/>
        <item x="260"/>
        <item x="160"/>
        <item x="24"/>
        <item x="269"/>
        <item x="34"/>
        <item x="295"/>
        <item x="366"/>
        <item x="68"/>
        <item x="212"/>
        <item x="300"/>
        <item x="224"/>
        <item x="267"/>
        <item x="410"/>
        <item x="423"/>
        <item x="467"/>
        <item x="229"/>
        <item x="458"/>
        <item x="180"/>
        <item x="378"/>
        <item x="277"/>
        <item x="136"/>
        <item x="264"/>
        <item x="121"/>
        <item x="32"/>
        <item x="253"/>
        <item x="396"/>
        <item x="231"/>
        <item x="238"/>
        <item x="420"/>
        <item x="172"/>
        <item x="124"/>
        <item x="222"/>
        <item x="284"/>
        <item x="251"/>
        <item x="94"/>
        <item x="460"/>
        <item x="199"/>
        <item x="445"/>
        <item x="330"/>
        <item x="228"/>
        <item x="306"/>
        <item x="329"/>
        <item x="286"/>
        <item x="299"/>
        <item x="297"/>
        <item x="472"/>
        <item x="243"/>
        <item x="462"/>
        <item x="415"/>
        <item x="30"/>
        <item x="414"/>
        <item x="198"/>
        <item x="58"/>
        <item x="92"/>
        <item x="135"/>
        <item x="241"/>
        <item x="1"/>
        <item x="179"/>
        <item x="175"/>
        <item x="471"/>
        <item x="485"/>
        <item x="201"/>
        <item x="76"/>
        <item x="106"/>
        <item x="250"/>
        <item x="196"/>
        <item x="316"/>
        <item x="310"/>
        <item x="99"/>
        <item x="421"/>
        <item x="418"/>
        <item x="137"/>
        <item x="488"/>
        <item x="431"/>
        <item x="221"/>
        <item x="411"/>
        <item x="456"/>
        <item x="262"/>
        <item x="447"/>
        <item x="142"/>
        <item x="80"/>
        <item x="422"/>
        <item x="168"/>
        <item x="322"/>
        <item x="265"/>
        <item x="270"/>
        <item x="53"/>
        <item x="96"/>
        <item x="162"/>
        <item x="213"/>
        <item x="206"/>
        <item x="430"/>
        <item x="291"/>
        <item x="409"/>
        <item x="3"/>
        <item x="303"/>
        <item x="17"/>
        <item x="211"/>
        <item x="35"/>
        <item x="98"/>
        <item x="426"/>
        <item x="86"/>
        <item t="default"/>
      </items>
    </pivotField>
    <pivotField dataField="1" numFmtId="164" showAll="0"/>
    <pivotField dataField="1" numFmtId="164" showAll="0"/>
    <pivotField dataField="1" numFmtId="1" showAll="0"/>
    <pivotField axis="axisPage" showAll="0">
      <items count="4">
        <item x="2"/>
        <item x="0"/>
        <item x="1"/>
        <item t="default"/>
      </items>
    </pivotField>
    <pivotField axis="axisRow" showAll="0" sortType="descending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6">
        <item x="0"/>
        <item x="2"/>
        <item x="4"/>
        <item x="1"/>
        <item x="3"/>
        <item t="default"/>
      </items>
    </pivotField>
    <pivotField dataField="1" dragToRow="0" dragToCol="0" dragToPage="0" showAll="0" defaultSubtotal="0"/>
  </pivotFields>
  <rowFields count="1">
    <field x="5"/>
  </rowFields>
  <rowItems count="18">
    <i>
      <x v="9"/>
    </i>
    <i>
      <x v="1"/>
    </i>
    <i>
      <x v="10"/>
    </i>
    <i>
      <x/>
    </i>
    <i>
      <x v="14"/>
    </i>
    <i>
      <x v="15"/>
    </i>
    <i>
      <x v="13"/>
    </i>
    <i>
      <x v="8"/>
    </i>
    <i>
      <x v="5"/>
    </i>
    <i>
      <x v="2"/>
    </i>
    <i>
      <x v="11"/>
    </i>
    <i>
      <x v="16"/>
    </i>
    <i>
      <x v="7"/>
    </i>
    <i>
      <x v="12"/>
    </i>
    <i>
      <x v="6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 of amount" fld="1" baseField="0" baseItem="0" numFmtId="164"/>
    <dataField name="Sum of profit" fld="2" baseField="0" baseItem="0" numFmtId="164"/>
    <dataField name="Sum of quantity" fld="3" baseField="0" baseItem="0" numFmtId="1"/>
    <dataField name="Sum of Profit Margin" fld="7" baseField="5" baseItem="15" numFmtId="10"/>
  </dataFields>
  <conditionalFormats count="2">
    <conditionalFormat priority="7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E16F97-DB30-4BD5-A13B-C2DCCFCB33A5}" name="Table2" displayName="Table2" ref="H2:O19" totalsRowShown="0">
  <autoFilter ref="H2:O19" xr:uid="{E0E16F97-DB30-4BD5-A13B-C2DCCFCB33A5}"/>
  <sortState xmlns:xlrd2="http://schemas.microsoft.com/office/spreadsheetml/2017/richdata2" ref="H3:O19">
    <sortCondition descending="1" ref="O6:O19"/>
  </sortState>
  <tableColumns count="8">
    <tableColumn id="1" xr3:uid="{197B6A9E-7E80-4562-800A-ED2BACE6C214}" name="Row Labels" dataDxfId="12"/>
    <tableColumn id="2" xr3:uid="{C65F3176-7888-430B-9E95-ED57696C002E}" name="Sum of amount" dataDxfId="11"/>
    <tableColumn id="3" xr3:uid="{E4A5CFE8-8139-411F-A717-6CD817D300F3}" name="Sum of profit" dataDxfId="10"/>
    <tableColumn id="4" xr3:uid="{182B4E4F-1EE0-47F2-B910-924A367B1C2E}" name="Sum of quantity" dataDxfId="9"/>
    <tableColumn id="5" xr3:uid="{58C23DF7-BF43-459E-A336-500548D29FC0}" name="Sum of Profit Margin" dataDxfId="8"/>
    <tableColumn id="6" xr3:uid="{32151C62-6D92-4467-A236-2A1B01DF03D2}" name="quantity_rank">
      <calculatedColumnFormula>_xlfn.RANK.EQ(K3,$K$3:$K$19,0)</calculatedColumnFormula>
    </tableColumn>
    <tableColumn id="7" xr3:uid="{316F857E-D496-4B99-9E87-DB15EA84AC1F}" name="profit_rank" dataDxfId="7">
      <calculatedColumnFormula>_xlfn.RANK.EQ(Table2[[#This Row],[Sum of profit]],Table2[Sum of profit],0)</calculatedColumnFormula>
    </tableColumn>
    <tableColumn id="8" xr3:uid="{3ADD6081-FC19-49E6-B8CC-9F2C6C0C2D7C}" name="rank_gap" dataDxfId="6">
      <calculatedColumnFormula>Table2[[#This Row],[quantity_rank]]-Table2[[#This Row],[profit_rank]]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7A9617-1600-406C-948C-4EEBE07C0474}" name="Table1" displayName="Table1" ref="A1:G1501" totalsRowShown="0">
  <autoFilter ref="A1:G1501" xr:uid="{5E7A9617-1600-406C-948C-4EEBE07C0474}"/>
  <tableColumns count="7">
    <tableColumn id="1" xr3:uid="{BA15CEB4-0A10-4E2E-8460-66A006861EF1}" name="order_id"/>
    <tableColumn id="2" xr3:uid="{8778DEDB-15D9-4FEF-BE43-7193D03F4402}" name="amount" dataDxfId="15"/>
    <tableColumn id="3" xr3:uid="{828CDCC6-381F-4572-99FC-6077D051C6DA}" name="profit" dataDxfId="14"/>
    <tableColumn id="4" xr3:uid="{060A31E6-9E8C-4E3A-A275-EE8CDB183888}" name="quantity" dataDxfId="13"/>
    <tableColumn id="5" xr3:uid="{C7C4D082-963C-4A67-A72B-212EA8CA306B}" name="category"/>
    <tableColumn id="6" xr3:uid="{B9277051-D614-4E3E-A87C-6AE5AD651FB6}" name="sub_category"/>
    <tableColumn id="7" xr3:uid="{883307B2-5D40-4093-933B-C13A1A2C9A30}" name="payment_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F0EE-C163-4B83-807C-19CF009B564E}">
  <sheetPr>
    <pageSetUpPr fitToPage="1"/>
  </sheetPr>
  <dimension ref="A1"/>
  <sheetViews>
    <sheetView topLeftCell="A7" zoomScale="70" zoomScaleNormal="70" workbookViewId="0">
      <selection activeCell="AB18" sqref="AB18"/>
    </sheetView>
  </sheetViews>
  <sheetFormatPr defaultRowHeight="15" x14ac:dyDescent="0.25"/>
  <sheetData/>
  <pageMargins left="0.25" right="0.25" top="0.75" bottom="0.75" header="0.3" footer="0.3"/>
  <pageSetup paperSize="8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77D4-6626-49C9-8C3F-F7DDC41DF63A}">
  <dimension ref="B2:H37"/>
  <sheetViews>
    <sheetView topLeftCell="A24" workbookViewId="0">
      <selection activeCell="H11" sqref="H11"/>
    </sheetView>
  </sheetViews>
  <sheetFormatPr defaultRowHeight="15" x14ac:dyDescent="0.25"/>
  <cols>
    <col min="2" max="3" width="18.28515625" customWidth="1"/>
    <col min="4" max="4" width="11.140625" customWidth="1"/>
    <col min="5" max="5" width="16.28515625" customWidth="1"/>
    <col min="6" max="6" width="10.140625" customWidth="1"/>
    <col min="7" max="7" width="12.85546875" customWidth="1"/>
  </cols>
  <sheetData>
    <row r="2" spans="2:8" ht="18.75" x14ac:dyDescent="0.3">
      <c r="B2" s="15" t="s">
        <v>561</v>
      </c>
    </row>
    <row r="4" spans="2:8" x14ac:dyDescent="0.25">
      <c r="B4" s="12" t="s">
        <v>562</v>
      </c>
      <c r="C4" s="12"/>
      <c r="D4" s="12"/>
      <c r="E4" s="12"/>
      <c r="F4" s="12"/>
      <c r="G4" s="12"/>
    </row>
    <row r="5" spans="2:8" x14ac:dyDescent="0.25">
      <c r="B5" s="10" t="s">
        <v>563</v>
      </c>
      <c r="C5" s="10" t="s">
        <v>568</v>
      </c>
      <c r="D5" s="10" t="s">
        <v>564</v>
      </c>
      <c r="E5" s="10" t="s">
        <v>565</v>
      </c>
      <c r="F5" s="10" t="s">
        <v>566</v>
      </c>
      <c r="G5" s="10" t="s">
        <v>567</v>
      </c>
    </row>
    <row r="6" spans="2:8" x14ac:dyDescent="0.25">
      <c r="B6" s="11" t="s">
        <v>63</v>
      </c>
      <c r="C6" s="5" t="s">
        <v>23</v>
      </c>
      <c r="D6" s="2">
        <v>2106</v>
      </c>
      <c r="E6" s="14">
        <v>-130</v>
      </c>
      <c r="F6" s="1">
        <v>186</v>
      </c>
      <c r="G6" s="7">
        <v>-6.1728395061728392E-2</v>
      </c>
      <c r="H6" s="13"/>
    </row>
    <row r="7" spans="2:8" x14ac:dyDescent="0.25">
      <c r="B7" s="11" t="s">
        <v>43</v>
      </c>
      <c r="C7" s="5" t="s">
        <v>23</v>
      </c>
      <c r="D7" s="2">
        <v>1946</v>
      </c>
      <c r="E7" s="14">
        <v>-315</v>
      </c>
      <c r="F7" s="1">
        <v>248</v>
      </c>
      <c r="G7" s="7">
        <v>-0.16187050359712229</v>
      </c>
    </row>
    <row r="8" spans="2:8" x14ac:dyDescent="0.25">
      <c r="B8" s="11" t="s">
        <v>32</v>
      </c>
      <c r="C8" s="5" t="s">
        <v>23</v>
      </c>
      <c r="D8" s="2">
        <v>3361</v>
      </c>
      <c r="E8" s="14">
        <v>-401</v>
      </c>
      <c r="F8" s="1">
        <v>164</v>
      </c>
      <c r="G8" s="7">
        <v>-0.11930972924724784</v>
      </c>
    </row>
    <row r="9" spans="2:8" x14ac:dyDescent="0.25">
      <c r="B9" s="11" t="s">
        <v>9</v>
      </c>
      <c r="C9" s="5" t="s">
        <v>8</v>
      </c>
      <c r="D9" s="2">
        <v>39168</v>
      </c>
      <c r="E9" s="14">
        <v>-644</v>
      </c>
      <c r="F9" s="1">
        <v>297</v>
      </c>
      <c r="G9" s="7">
        <v>-1.6441993464052288E-2</v>
      </c>
    </row>
    <row r="10" spans="2:8" x14ac:dyDescent="0.25">
      <c r="B10" s="11" t="s">
        <v>131</v>
      </c>
      <c r="C10" s="5" t="s">
        <v>12</v>
      </c>
      <c r="D10" s="2">
        <v>13484</v>
      </c>
      <c r="E10" s="14">
        <v>-806</v>
      </c>
      <c r="F10" s="1">
        <v>310</v>
      </c>
      <c r="G10" s="7">
        <v>-5.9774547611984571E-2</v>
      </c>
    </row>
    <row r="12" spans="2:8" x14ac:dyDescent="0.25">
      <c r="B12" s="11" t="s">
        <v>569</v>
      </c>
    </row>
    <row r="13" spans="2:8" x14ac:dyDescent="0.25">
      <c r="B13" s="11" t="s">
        <v>570</v>
      </c>
      <c r="C13" s="11" t="s">
        <v>571</v>
      </c>
      <c r="D13" s="10" t="s">
        <v>565</v>
      </c>
      <c r="E13" s="10" t="s">
        <v>574</v>
      </c>
      <c r="F13" s="10" t="s">
        <v>575</v>
      </c>
      <c r="G13" s="10" t="s">
        <v>576</v>
      </c>
    </row>
    <row r="14" spans="2:8" x14ac:dyDescent="0.25">
      <c r="B14" s="10" t="s">
        <v>10</v>
      </c>
      <c r="C14" s="2">
        <f>SUMIFS(Details_cleaned_work!C:C,Details_cleaned_work!G:G,$B14,Details_cleaned_work!C:C,"&lt;0")</f>
        <v>-15483</v>
      </c>
      <c r="D14" s="2">
        <f>SUMIFS(Details_cleaned_work!C:C,Details_cleaned_work!G:G,$B14,Details_cleaned_work!C:C,"&gt;0")</f>
        <v>28030</v>
      </c>
      <c r="E14">
        <f>COUNTIFS(Details_cleaned_work!A:A,"&lt;&gt;",Details_cleaned_work!C:C,"&lt;0",Details_cleaned_work!G:G,Summary!B14)</f>
        <v>244</v>
      </c>
      <c r="F14">
        <f>COUNTIF(Details_cleaned_work!G:G,Summary!B14)</f>
        <v>684</v>
      </c>
      <c r="G14" s="3">
        <f>E14/F14</f>
        <v>0.35672514619883039</v>
      </c>
    </row>
    <row r="15" spans="2:8" x14ac:dyDescent="0.25">
      <c r="B15" s="10" t="s">
        <v>28</v>
      </c>
      <c r="C15" s="2">
        <f>SUMIFS(Details_cleaned_work!C:C,Details_cleaned_work!G:G,$B15,Details_cleaned_work!C:C,"&lt;0")</f>
        <v>-7103</v>
      </c>
      <c r="D15" s="2">
        <f>SUMIFS(Details_cleaned_work!C:C,Details_cleaned_work!G:G,$B15,Details_cleaned_work!C:C,"&gt;0")</f>
        <v>10389</v>
      </c>
      <c r="E15">
        <f>COUNTIFS(Details_cleaned_work!A:A,"&lt;&gt;",Details_cleaned_work!C:C,"&lt;0",Details_cleaned_work!G:G,Summary!B15)</f>
        <v>123</v>
      </c>
      <c r="F15">
        <f>COUNTIF(Details_cleaned_work!G:G,Summary!B15)</f>
        <v>331</v>
      </c>
      <c r="G15" s="3">
        <f t="shared" ref="G15:G18" si="0">E15/F15</f>
        <v>0.37160120845921452</v>
      </c>
    </row>
    <row r="16" spans="2:8" x14ac:dyDescent="0.25">
      <c r="B16" s="10" t="s">
        <v>14</v>
      </c>
      <c r="C16" s="2">
        <f>SUMIFS(Details_cleaned_work!C:C,Details_cleaned_work!G:G,$B16,Details_cleaned_work!C:C,"&lt;0")</f>
        <v>-5958</v>
      </c>
      <c r="D16" s="2">
        <f>SUMIFS(Details_cleaned_work!C:C,Details_cleaned_work!G:G,$B16,Details_cleaned_work!C:C,"&gt;0")</f>
        <v>10782</v>
      </c>
      <c r="E16">
        <f>COUNTIFS(Details_cleaned_work!A:A,"&lt;&gt;",Details_cleaned_work!C:C,"&lt;0",Details_cleaned_work!G:G,Summary!B16)</f>
        <v>41</v>
      </c>
      <c r="F16">
        <f>COUNTIF(Details_cleaned_work!G:G,Summary!B16)</f>
        <v>120</v>
      </c>
      <c r="G16" s="3">
        <f t="shared" si="0"/>
        <v>0.34166666666666667</v>
      </c>
    </row>
    <row r="17" spans="2:7" x14ac:dyDescent="0.25">
      <c r="B17" s="10" t="s">
        <v>19</v>
      </c>
      <c r="C17" s="2">
        <f>SUMIFS(Details_cleaned_work!C:C,Details_cleaned_work!G:G,$B17,Details_cleaned_work!C:C,"&lt;0")</f>
        <v>-5632</v>
      </c>
      <c r="D17" s="2">
        <f>SUMIFS(Details_cleaned_work!C:C,Details_cleaned_work!G:G,$B17,Details_cleaned_work!C:C,"&gt;0")</f>
        <v>18244</v>
      </c>
      <c r="E17">
        <f>COUNTIFS(Details_cleaned_work!A:A,"&lt;&gt;",Details_cleaned_work!C:C,"&lt;0",Details_cleaned_work!G:G,Summary!B17)</f>
        <v>57</v>
      </c>
      <c r="F17">
        <f>COUNTIF(Details_cleaned_work!G:G,Summary!B17)</f>
        <v>163</v>
      </c>
      <c r="G17" s="3">
        <f t="shared" si="0"/>
        <v>0.34969325153374231</v>
      </c>
    </row>
    <row r="18" spans="2:7" x14ac:dyDescent="0.25">
      <c r="B18" s="10" t="s">
        <v>82</v>
      </c>
      <c r="C18" s="2">
        <f>SUMIFS(Details_cleaned_work!C:C,Details_cleaned_work!G:G,$B18,Details_cleaned_work!C:C,"&lt;0")</f>
        <v>-3903</v>
      </c>
      <c r="D18" s="2">
        <f>SUMIFS(Details_cleaned_work!C:C,Details_cleaned_work!G:G,$B18,Details_cleaned_work!C:C,"&gt;0")</f>
        <v>7597</v>
      </c>
      <c r="E18">
        <f>COUNTIFS(Details_cleaned_work!A:A,"&lt;&gt;",Details_cleaned_work!C:C,"&lt;0",Details_cleaned_work!G:G,Summary!B18)</f>
        <v>64</v>
      </c>
      <c r="F18">
        <f>COUNTIF(Details_cleaned_work!G:G,Summary!B18)</f>
        <v>202</v>
      </c>
      <c r="G18" s="3">
        <f t="shared" si="0"/>
        <v>0.31683168316831684</v>
      </c>
    </row>
    <row r="21" spans="2:7" x14ac:dyDescent="0.25">
      <c r="B21" s="10" t="s">
        <v>572</v>
      </c>
    </row>
    <row r="22" spans="2:7" x14ac:dyDescent="0.25">
      <c r="B22" s="16">
        <v>1</v>
      </c>
      <c r="C22" t="s">
        <v>573</v>
      </c>
    </row>
    <row r="23" spans="2:7" x14ac:dyDescent="0.25">
      <c r="B23" s="16">
        <v>2</v>
      </c>
      <c r="C23" t="s">
        <v>577</v>
      </c>
    </row>
    <row r="24" spans="2:7" x14ac:dyDescent="0.25">
      <c r="B24" s="16">
        <v>3</v>
      </c>
      <c r="C24" t="s">
        <v>578</v>
      </c>
    </row>
    <row r="25" spans="2:7" x14ac:dyDescent="0.25">
      <c r="B25" s="16">
        <v>4</v>
      </c>
      <c r="C25" t="s">
        <v>579</v>
      </c>
    </row>
    <row r="26" spans="2:7" x14ac:dyDescent="0.25">
      <c r="B26" s="16">
        <v>5</v>
      </c>
      <c r="C26" t="s">
        <v>580</v>
      </c>
    </row>
    <row r="29" spans="2:7" x14ac:dyDescent="0.25">
      <c r="B29" s="10" t="s">
        <v>581</v>
      </c>
    </row>
    <row r="30" spans="2:7" x14ac:dyDescent="0.25">
      <c r="B30" s="10" t="s">
        <v>586</v>
      </c>
    </row>
    <row r="31" spans="2:7" x14ac:dyDescent="0.25">
      <c r="B31">
        <v>1</v>
      </c>
      <c r="C31" t="s">
        <v>583</v>
      </c>
    </row>
    <row r="32" spans="2:7" x14ac:dyDescent="0.25">
      <c r="B32">
        <v>2</v>
      </c>
      <c r="C32" t="s">
        <v>584</v>
      </c>
    </row>
    <row r="33" spans="2:3" x14ac:dyDescent="0.25">
      <c r="B33">
        <v>3</v>
      </c>
      <c r="C33" t="s">
        <v>585</v>
      </c>
    </row>
    <row r="34" spans="2:3" x14ac:dyDescent="0.25">
      <c r="B34" s="10" t="s">
        <v>587</v>
      </c>
    </row>
    <row r="35" spans="2:3" x14ac:dyDescent="0.25">
      <c r="B35">
        <v>1</v>
      </c>
      <c r="C35" t="s">
        <v>588</v>
      </c>
    </row>
    <row r="36" spans="2:3" x14ac:dyDescent="0.25">
      <c r="B36">
        <v>2</v>
      </c>
      <c r="C36" t="s">
        <v>589</v>
      </c>
    </row>
    <row r="37" spans="2:3" x14ac:dyDescent="0.25">
      <c r="B37">
        <v>3</v>
      </c>
      <c r="C37" t="s">
        <v>590</v>
      </c>
    </row>
  </sheetData>
  <mergeCells count="1">
    <mergeCell ref="B4:G4"/>
  </mergeCells>
  <conditionalFormatting sqref="E14:E18">
    <cfRule type="colorScale" priority="6">
      <colorScale>
        <cfvo type="min"/>
        <cfvo type="max"/>
        <color rgb="FFFCFCFF"/>
        <color rgb="FFF8696B"/>
      </colorScale>
    </cfRule>
  </conditionalFormatting>
  <conditionalFormatting sqref="E6:E10">
    <cfRule type="colorScale" priority="3">
      <colorScale>
        <cfvo type="min"/>
        <cfvo type="max"/>
        <color rgb="FFF8696B"/>
        <color rgb="FFFCFCFF"/>
      </colorScale>
    </cfRule>
  </conditionalFormatting>
  <conditionalFormatting sqref="F14:F18">
    <cfRule type="colorScale" priority="2">
      <colorScale>
        <cfvo type="min"/>
        <cfvo type="max"/>
        <color rgb="FFFCFCFF"/>
        <color rgb="FF63BE7B"/>
      </colorScale>
    </cfRule>
  </conditionalFormatting>
  <conditionalFormatting sqref="G14:G1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F034-8C18-4FF5-B860-8235A03EB67E}">
  <dimension ref="A2:O20"/>
  <sheetViews>
    <sheetView workbookViewId="0">
      <selection activeCell="B15" sqref="B15"/>
    </sheetView>
  </sheetViews>
  <sheetFormatPr defaultRowHeight="15" x14ac:dyDescent="0.25"/>
  <cols>
    <col min="1" max="1" width="29.7109375" customWidth="1"/>
    <col min="2" max="2" width="20" customWidth="1"/>
    <col min="3" max="3" width="9.7109375" bestFit="1" customWidth="1"/>
    <col min="8" max="8" width="13.28515625" customWidth="1"/>
    <col min="9" max="9" width="16.7109375" customWidth="1"/>
    <col min="10" max="10" width="14.85546875" customWidth="1"/>
    <col min="11" max="11" width="17.28515625" customWidth="1"/>
    <col min="12" max="12" width="21.28515625" customWidth="1"/>
    <col min="13" max="13" width="15.28515625" customWidth="1"/>
  </cols>
  <sheetData>
    <row r="2" spans="1:15" x14ac:dyDescent="0.25">
      <c r="B2" t="s">
        <v>537</v>
      </c>
      <c r="C2" s="8">
        <f>GETPIVOTDATA("Sum of amount",'Pivot Tables'!$A$3)</f>
        <v>437771</v>
      </c>
      <c r="H2" s="4" t="s">
        <v>542</v>
      </c>
      <c r="I2" s="4" t="s">
        <v>548</v>
      </c>
      <c r="J2" t="s">
        <v>546</v>
      </c>
      <c r="K2" t="s">
        <v>547</v>
      </c>
      <c r="L2" t="s">
        <v>549</v>
      </c>
      <c r="M2" t="s">
        <v>557</v>
      </c>
      <c r="N2" t="s">
        <v>558</v>
      </c>
      <c r="O2" t="s">
        <v>559</v>
      </c>
    </row>
    <row r="3" spans="1:15" x14ac:dyDescent="0.25">
      <c r="B3" t="s">
        <v>538</v>
      </c>
      <c r="C3" s="8">
        <f>GETPIVOTDATA("Sum of profit",'Pivot Tables'!$A$3)</f>
        <v>36963</v>
      </c>
      <c r="H3" s="5" t="s">
        <v>45</v>
      </c>
      <c r="I3" s="2">
        <v>22614</v>
      </c>
      <c r="J3" s="2">
        <v>3139</v>
      </c>
      <c r="K3" s="1">
        <v>61</v>
      </c>
      <c r="L3" s="7">
        <v>0.13880781816573803</v>
      </c>
      <c r="M3">
        <f t="shared" ref="M3:M19" si="0">_xlfn.RANK.EQ(K3,$K$3:$K$19,0)</f>
        <v>17</v>
      </c>
      <c r="N3">
        <f>_xlfn.RANK.EQ(Table2[[#This Row],[Sum of profit]],Table2[Sum of profit],0)</f>
        <v>5</v>
      </c>
      <c r="O3">
        <f>Table2[[#This Row],[quantity_rank]]-Table2[[#This Row],[profit_rank]]</f>
        <v>12</v>
      </c>
    </row>
    <row r="4" spans="1:15" x14ac:dyDescent="0.25">
      <c r="B4" t="s">
        <v>539</v>
      </c>
      <c r="C4" s="3">
        <f>GETPIVOTDATA("Sum of Profit Margin",'Pivot Tables'!$A$3)</f>
        <v>8.4434555966475616E-2</v>
      </c>
      <c r="H4" s="5" t="s">
        <v>24</v>
      </c>
      <c r="I4" s="2">
        <v>30039</v>
      </c>
      <c r="J4" s="2">
        <v>2847</v>
      </c>
      <c r="K4" s="1">
        <v>135</v>
      </c>
      <c r="L4" s="7">
        <v>9.4776790172775391E-2</v>
      </c>
      <c r="M4">
        <f t="shared" si="0"/>
        <v>16</v>
      </c>
      <c r="N4">
        <f>_xlfn.RANK.EQ(Table2[[#This Row],[Sum of profit]],Table2[Sum of profit],0)</f>
        <v>6</v>
      </c>
      <c r="O4">
        <f>Table2[[#This Row],[quantity_rank]]-Table2[[#This Row],[profit_rank]]</f>
        <v>10</v>
      </c>
    </row>
    <row r="5" spans="1:15" x14ac:dyDescent="0.25">
      <c r="B5" t="s">
        <v>541</v>
      </c>
      <c r="C5" s="9">
        <f>GETPIVOTDATA("Sum of quantity",'Pivot Tables'!$A$3)</f>
        <v>5615</v>
      </c>
      <c r="H5" s="5" t="s">
        <v>18</v>
      </c>
      <c r="I5" s="2">
        <v>59252</v>
      </c>
      <c r="J5" s="2">
        <v>8606</v>
      </c>
      <c r="K5" s="1">
        <v>291</v>
      </c>
      <c r="L5" s="7">
        <v>0.14524404239519342</v>
      </c>
      <c r="M5">
        <f t="shared" si="0"/>
        <v>9</v>
      </c>
      <c r="N5">
        <f>_xlfn.RANK.EQ(Table2[[#This Row],[Sum of profit]],Table2[Sum of profit],0)</f>
        <v>1</v>
      </c>
      <c r="O5">
        <f>Table2[[#This Row],[quantity_rank]]-Table2[[#This Row],[profit_rank]]</f>
        <v>8</v>
      </c>
    </row>
    <row r="6" spans="1:15" x14ac:dyDescent="0.25">
      <c r="B6" t="s">
        <v>544</v>
      </c>
      <c r="C6">
        <f>COUNTA(_xlfn.UNIQUE(Details_cleaned_work!A2:A1501))</f>
        <v>500</v>
      </c>
      <c r="H6" s="5" t="s">
        <v>73</v>
      </c>
      <c r="I6" s="2">
        <v>21728</v>
      </c>
      <c r="J6" s="2">
        <v>3353</v>
      </c>
      <c r="K6" s="1">
        <v>262</v>
      </c>
      <c r="L6" s="7">
        <v>0.15431701030927836</v>
      </c>
      <c r="M6">
        <f t="shared" si="0"/>
        <v>12</v>
      </c>
      <c r="N6">
        <f>_xlfn.RANK.EQ(Table2[[#This Row],[Sum of profit]],Table2[Sum of profit],0)</f>
        <v>4</v>
      </c>
      <c r="O6">
        <f>Table2[[#This Row],[quantity_rank]]-Table2[[#This Row],[profit_rank]]</f>
        <v>8</v>
      </c>
    </row>
    <row r="7" spans="1:15" x14ac:dyDescent="0.25">
      <c r="B7" t="s">
        <v>545</v>
      </c>
      <c r="C7" s="6">
        <f>C2/C6</f>
        <v>875.54200000000003</v>
      </c>
      <c r="H7" s="5" t="s">
        <v>16</v>
      </c>
      <c r="I7" s="2">
        <v>56861</v>
      </c>
      <c r="J7" s="2">
        <v>6516</v>
      </c>
      <c r="K7" s="1">
        <v>297</v>
      </c>
      <c r="L7" s="7">
        <v>0.11459524102636254</v>
      </c>
      <c r="M7">
        <f t="shared" si="0"/>
        <v>7</v>
      </c>
      <c r="N7">
        <f>_xlfn.RANK.EQ(Table2[[#This Row],[Sum of profit]],Table2[Sum of profit],0)</f>
        <v>2</v>
      </c>
      <c r="O7">
        <f>Table2[[#This Row],[quantity_rank]]-Table2[[#This Row],[profit_rank]]</f>
        <v>5</v>
      </c>
    </row>
    <row r="8" spans="1:15" x14ac:dyDescent="0.25">
      <c r="H8" s="5" t="s">
        <v>63</v>
      </c>
      <c r="I8" s="2">
        <v>2106</v>
      </c>
      <c r="J8" s="2">
        <v>-130</v>
      </c>
      <c r="K8" s="1">
        <v>186</v>
      </c>
      <c r="L8" s="7">
        <v>-6.1728395061728392E-2</v>
      </c>
      <c r="M8">
        <f t="shared" si="0"/>
        <v>14</v>
      </c>
      <c r="N8">
        <f>_xlfn.RANK.EQ(Table2[[#This Row],[Sum of profit]],Table2[Sum of profit],0)</f>
        <v>13</v>
      </c>
      <c r="O8">
        <f>Table2[[#This Row],[quantity_rank]]-Table2[[#This Row],[profit_rank]]</f>
        <v>1</v>
      </c>
    </row>
    <row r="9" spans="1:15" x14ac:dyDescent="0.25">
      <c r="A9" t="s">
        <v>591</v>
      </c>
      <c r="B9" t="s">
        <v>10</v>
      </c>
      <c r="C9" s="2">
        <f>SUMIFS(Details_cleaned_work!C:C,Details_cleaned_work!G:G,$B9,Details_cleaned_work!C:C,"&lt;0")</f>
        <v>-15483</v>
      </c>
      <c r="D9" s="2">
        <f>SUMIFS(Details_cleaned_work!C:C,Details_cleaned_work!G:G,$B9,Details_cleaned_work!C:C,"&gt;0")</f>
        <v>28030</v>
      </c>
      <c r="E9" s="2"/>
      <c r="F9" s="2"/>
      <c r="G9" s="3"/>
      <c r="H9" s="5" t="s">
        <v>13</v>
      </c>
      <c r="I9" s="2">
        <v>34222</v>
      </c>
      <c r="J9" s="2">
        <v>1627</v>
      </c>
      <c r="K9" s="1">
        <v>277</v>
      </c>
      <c r="L9" s="7">
        <v>4.754251650984747E-2</v>
      </c>
      <c r="M9">
        <f t="shared" si="0"/>
        <v>10</v>
      </c>
      <c r="N9">
        <f>_xlfn.RANK.EQ(Table2[[#This Row],[Sum of profit]],Table2[Sum of profit],0)</f>
        <v>10</v>
      </c>
      <c r="O9">
        <f>Table2[[#This Row],[quantity_rank]]-Table2[[#This Row],[profit_rank]]</f>
        <v>0</v>
      </c>
    </row>
    <row r="10" spans="1:15" x14ac:dyDescent="0.25">
      <c r="B10" t="s">
        <v>28</v>
      </c>
      <c r="C10" s="2">
        <f>SUMIFS(Details_cleaned_work!C:C,Details_cleaned_work!G:G,$B10,Details_cleaned_work!C:C,"&lt;0")</f>
        <v>-7103</v>
      </c>
      <c r="D10" s="2">
        <f>SUMIFS(Details_cleaned_work!C:C,Details_cleaned_work!G:G,$B10,Details_cleaned_work!C:C,"&gt;0")</f>
        <v>10389</v>
      </c>
      <c r="E10" s="2"/>
      <c r="F10" s="2"/>
      <c r="G10" s="3"/>
      <c r="H10" s="5" t="s">
        <v>142</v>
      </c>
      <c r="I10" s="2">
        <v>7555</v>
      </c>
      <c r="J10" s="2">
        <v>1513</v>
      </c>
      <c r="K10" s="1">
        <v>271</v>
      </c>
      <c r="L10" s="7">
        <v>0.20026472534745202</v>
      </c>
      <c r="M10">
        <f t="shared" si="0"/>
        <v>11</v>
      </c>
      <c r="N10">
        <f>_xlfn.RANK.EQ(Table2[[#This Row],[Sum of profit]],Table2[Sum of profit],0)</f>
        <v>11</v>
      </c>
      <c r="O10">
        <f>Table2[[#This Row],[quantity_rank]]-Table2[[#This Row],[profit_rank]]</f>
        <v>0</v>
      </c>
    </row>
    <row r="11" spans="1:15" x14ac:dyDescent="0.25">
      <c r="B11" t="s">
        <v>14</v>
      </c>
      <c r="C11" s="2">
        <f>SUMIFS(Details_cleaned_work!C:C,Details_cleaned_work!G:G,$B11,Details_cleaned_work!C:C,"&lt;0")</f>
        <v>-5958</v>
      </c>
      <c r="D11" s="2">
        <f>SUMIFS(Details_cleaned_work!C:C,Details_cleaned_work!G:G,$B11,Details_cleaned_work!C:C,"&gt;0")</f>
        <v>10782</v>
      </c>
      <c r="E11" s="2"/>
      <c r="F11" s="2"/>
      <c r="G11" s="3"/>
      <c r="H11" s="5" t="s">
        <v>32</v>
      </c>
      <c r="I11" s="2">
        <v>3361</v>
      </c>
      <c r="J11" s="2">
        <v>-401</v>
      </c>
      <c r="K11" s="1">
        <v>164</v>
      </c>
      <c r="L11" s="7">
        <v>-0.11930972924724784</v>
      </c>
      <c r="M11">
        <f t="shared" si="0"/>
        <v>15</v>
      </c>
      <c r="N11">
        <f>_xlfn.RANK.EQ(Table2[[#This Row],[Sum of profit]],Table2[Sum of profit],0)</f>
        <v>15</v>
      </c>
      <c r="O11">
        <f>Table2[[#This Row],[quantity_rank]]-Table2[[#This Row],[profit_rank]]</f>
        <v>0</v>
      </c>
    </row>
    <row r="12" spans="1:15" x14ac:dyDescent="0.25">
      <c r="B12" t="s">
        <v>19</v>
      </c>
      <c r="C12" s="2">
        <f>SUMIFS(Details_cleaned_work!C:C,Details_cleaned_work!G:G,$B12,Details_cleaned_work!C:C,"&lt;0")</f>
        <v>-5632</v>
      </c>
      <c r="D12" s="2">
        <f>SUMIFS(Details_cleaned_work!C:C,Details_cleaned_work!G:G,$B12,Details_cleaned_work!C:C,"&gt;0")</f>
        <v>18244</v>
      </c>
      <c r="E12" s="2"/>
      <c r="F12" s="2"/>
      <c r="G12" s="3"/>
      <c r="H12" s="5" t="s">
        <v>43</v>
      </c>
      <c r="I12" s="2">
        <v>1946</v>
      </c>
      <c r="J12" s="2">
        <v>-315</v>
      </c>
      <c r="K12" s="1">
        <v>248</v>
      </c>
      <c r="L12" s="7">
        <v>-0.16187050359712229</v>
      </c>
      <c r="M12">
        <f t="shared" si="0"/>
        <v>13</v>
      </c>
      <c r="N12">
        <f>_xlfn.RANK.EQ(Table2[[#This Row],[Sum of profit]],Table2[Sum of profit],0)</f>
        <v>14</v>
      </c>
      <c r="O12">
        <f>Table2[[#This Row],[quantity_rank]]-Table2[[#This Row],[profit_rank]]</f>
        <v>-1</v>
      </c>
    </row>
    <row r="13" spans="1:15" x14ac:dyDescent="0.25">
      <c r="B13" t="s">
        <v>82</v>
      </c>
      <c r="C13" s="2">
        <f>SUMIFS(Details_cleaned_work!C:C,Details_cleaned_work!G:G,$B13,Details_cleaned_work!C:C,"&lt;0")</f>
        <v>-3903</v>
      </c>
      <c r="D13" s="2">
        <f>SUMIFS(Details_cleaned_work!C:C,Details_cleaned_work!G:G,$B13,Details_cleaned_work!C:C,"&gt;0")</f>
        <v>7597</v>
      </c>
      <c r="E13" s="2"/>
      <c r="F13" s="2"/>
      <c r="G13" s="3"/>
      <c r="H13" s="5" t="s">
        <v>26</v>
      </c>
      <c r="I13" s="2">
        <v>59094</v>
      </c>
      <c r="J13" s="2">
        <v>4057</v>
      </c>
      <c r="K13" s="1">
        <v>795</v>
      </c>
      <c r="L13" s="7">
        <v>6.8653331979557988E-2</v>
      </c>
      <c r="M13">
        <f t="shared" si="0"/>
        <v>1</v>
      </c>
      <c r="N13">
        <f>_xlfn.RANK.EQ(Table2[[#This Row],[Sum of profit]],Table2[Sum of profit],0)</f>
        <v>3</v>
      </c>
      <c r="O13">
        <f>Table2[[#This Row],[quantity_rank]]-Table2[[#This Row],[profit_rank]]</f>
        <v>-2</v>
      </c>
    </row>
    <row r="14" spans="1:15" x14ac:dyDescent="0.25">
      <c r="H14" s="5" t="s">
        <v>21</v>
      </c>
      <c r="I14" s="2">
        <v>46119</v>
      </c>
      <c r="J14" s="2">
        <v>1847</v>
      </c>
      <c r="K14" s="1">
        <v>304</v>
      </c>
      <c r="L14" s="7">
        <v>4.0048570003686119E-2</v>
      </c>
      <c r="M14">
        <f t="shared" si="0"/>
        <v>6</v>
      </c>
      <c r="N14">
        <f>_xlfn.RANK.EQ(Table2[[#This Row],[Sum of profit]],Table2[Sum of profit],0)</f>
        <v>8</v>
      </c>
      <c r="O14">
        <f>Table2[[#This Row],[quantity_rank]]-Table2[[#This Row],[profit_rank]]</f>
        <v>-2</v>
      </c>
    </row>
    <row r="15" spans="1:15" x14ac:dyDescent="0.25">
      <c r="G15" t="s">
        <v>560</v>
      </c>
      <c r="H15" s="5" t="s">
        <v>57</v>
      </c>
      <c r="I15" s="2">
        <v>18546</v>
      </c>
      <c r="J15" s="2">
        <v>2431</v>
      </c>
      <c r="K15" s="1">
        <v>671</v>
      </c>
      <c r="L15" s="7">
        <v>0.13107947805456702</v>
      </c>
      <c r="M15">
        <f t="shared" si="0"/>
        <v>3</v>
      </c>
      <c r="N15">
        <f>_xlfn.RANK.EQ(Table2[[#This Row],[Sum of profit]],Table2[Sum of profit],0)</f>
        <v>7</v>
      </c>
      <c r="O15">
        <f>Table2[[#This Row],[quantity_rank]]-Table2[[#This Row],[profit_rank]]</f>
        <v>-4</v>
      </c>
    </row>
    <row r="16" spans="1:15" x14ac:dyDescent="0.25">
      <c r="C16" s="2"/>
      <c r="H16" s="5" t="s">
        <v>30</v>
      </c>
      <c r="I16" s="2">
        <v>14294</v>
      </c>
      <c r="J16" s="2">
        <v>1823</v>
      </c>
      <c r="K16" s="1">
        <v>741</v>
      </c>
      <c r="L16" s="7">
        <v>0.1275360291031202</v>
      </c>
      <c r="M16">
        <f t="shared" si="0"/>
        <v>2</v>
      </c>
      <c r="N16">
        <f>_xlfn.RANK.EQ(Table2[[#This Row],[Sum of profit]],Table2[Sum of profit],0)</f>
        <v>9</v>
      </c>
      <c r="O16">
        <f>Table2[[#This Row],[quantity_rank]]-Table2[[#This Row],[profit_rank]]</f>
        <v>-7</v>
      </c>
    </row>
    <row r="17" spans="3:15" x14ac:dyDescent="0.25">
      <c r="C17" s="2"/>
      <c r="H17" s="5" t="s">
        <v>81</v>
      </c>
      <c r="I17" s="2">
        <v>7382</v>
      </c>
      <c r="J17" s="2">
        <v>1500</v>
      </c>
      <c r="K17" s="1">
        <v>305</v>
      </c>
      <c r="L17" s="7">
        <v>0.2031969655919805</v>
      </c>
      <c r="M17">
        <f t="shared" si="0"/>
        <v>5</v>
      </c>
      <c r="N17">
        <f>_xlfn.RANK.EQ(Table2[[#This Row],[Sum of profit]],Table2[Sum of profit],0)</f>
        <v>12</v>
      </c>
      <c r="O17">
        <f>Table2[[#This Row],[quantity_rank]]-Table2[[#This Row],[profit_rank]]</f>
        <v>-7</v>
      </c>
    </row>
    <row r="18" spans="3:15" x14ac:dyDescent="0.25">
      <c r="C18" s="2"/>
      <c r="H18" s="5" t="s">
        <v>9</v>
      </c>
      <c r="I18" s="2">
        <v>39168</v>
      </c>
      <c r="J18" s="2">
        <v>-644</v>
      </c>
      <c r="K18" s="1">
        <v>297</v>
      </c>
      <c r="L18" s="7">
        <v>-1.6441993464052288E-2</v>
      </c>
      <c r="M18">
        <f t="shared" si="0"/>
        <v>7</v>
      </c>
      <c r="N18">
        <f>_xlfn.RANK.EQ(Table2[[#This Row],[Sum of profit]],Table2[Sum of profit],0)</f>
        <v>16</v>
      </c>
      <c r="O18">
        <f>Table2[[#This Row],[quantity_rank]]-Table2[[#This Row],[profit_rank]]</f>
        <v>-9</v>
      </c>
    </row>
    <row r="19" spans="3:15" x14ac:dyDescent="0.25">
      <c r="C19" s="2"/>
      <c r="H19" s="5" t="s">
        <v>131</v>
      </c>
      <c r="I19" s="2">
        <v>13484</v>
      </c>
      <c r="J19" s="2">
        <v>-806</v>
      </c>
      <c r="K19" s="1">
        <v>310</v>
      </c>
      <c r="L19" s="7">
        <v>-5.9774547611984571E-2</v>
      </c>
      <c r="M19">
        <f t="shared" si="0"/>
        <v>4</v>
      </c>
      <c r="N19">
        <f>_xlfn.RANK.EQ(Table2[[#This Row],[Sum of profit]],Table2[Sum of profit],0)</f>
        <v>17</v>
      </c>
      <c r="O19">
        <f>Table2[[#This Row],[quantity_rank]]-Table2[[#This Row],[profit_rank]]</f>
        <v>-13</v>
      </c>
    </row>
    <row r="20" spans="3:15" x14ac:dyDescent="0.25">
      <c r="C20" s="2"/>
      <c r="H20" s="5"/>
      <c r="I20" s="2"/>
      <c r="J20" s="2"/>
      <c r="K20" s="1"/>
      <c r="L20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2564-626E-4BE9-BB71-9834D2DF60FA}">
  <dimension ref="A3:H23"/>
  <sheetViews>
    <sheetView workbookViewId="0">
      <selection activeCell="H10" sqref="H10"/>
    </sheetView>
  </sheetViews>
  <sheetFormatPr defaultRowHeight="15" x14ac:dyDescent="0.25"/>
  <cols>
    <col min="1" max="1" width="13.42578125" bestFit="1" customWidth="1"/>
    <col min="2" max="2" width="12.7109375" bestFit="1" customWidth="1"/>
    <col min="4" max="4" width="13.42578125" bestFit="1" customWidth="1"/>
    <col min="5" max="5" width="12.7109375" bestFit="1" customWidth="1"/>
    <col min="6" max="6" width="15.28515625" bestFit="1" customWidth="1"/>
    <col min="7" max="7" width="13.42578125" bestFit="1" customWidth="1"/>
    <col min="8" max="9" width="15.28515625" bestFit="1" customWidth="1"/>
    <col min="10" max="10" width="13.28515625" bestFit="1" customWidth="1"/>
    <col min="11" max="11" width="16.42578125" bestFit="1" customWidth="1"/>
    <col min="12" max="14" width="12.5703125" bestFit="1" customWidth="1"/>
    <col min="15" max="15" width="15.7109375" bestFit="1" customWidth="1"/>
    <col min="16" max="18" width="11.140625" bestFit="1" customWidth="1"/>
    <col min="20" max="22" width="11.140625" bestFit="1" customWidth="1"/>
    <col min="23" max="23" width="8.85546875" bestFit="1" customWidth="1"/>
    <col min="24" max="24" width="11.28515625" bestFit="1" customWidth="1"/>
  </cols>
  <sheetData>
    <row r="3" spans="1:6" x14ac:dyDescent="0.25">
      <c r="A3" s="4" t="s">
        <v>542</v>
      </c>
      <c r="B3" t="s">
        <v>546</v>
      </c>
      <c r="D3" s="4" t="s">
        <v>542</v>
      </c>
      <c r="E3" t="s">
        <v>546</v>
      </c>
      <c r="F3" t="s">
        <v>547</v>
      </c>
    </row>
    <row r="4" spans="1:6" x14ac:dyDescent="0.25">
      <c r="A4" s="5" t="s">
        <v>73</v>
      </c>
      <c r="B4" s="2">
        <v>3353</v>
      </c>
      <c r="D4" s="5" t="s">
        <v>23</v>
      </c>
      <c r="E4" s="2">
        <v>13325</v>
      </c>
      <c r="F4" s="1">
        <v>3516</v>
      </c>
    </row>
    <row r="5" spans="1:6" x14ac:dyDescent="0.25">
      <c r="A5" s="5" t="s">
        <v>16</v>
      </c>
      <c r="B5" s="2">
        <v>6516</v>
      </c>
      <c r="D5" s="5" t="s">
        <v>8</v>
      </c>
      <c r="E5" s="2">
        <v>13162</v>
      </c>
      <c r="F5" s="1">
        <v>1154</v>
      </c>
    </row>
    <row r="6" spans="1:6" x14ac:dyDescent="0.25">
      <c r="A6" s="5" t="s">
        <v>18</v>
      </c>
      <c r="B6" s="2">
        <v>8606</v>
      </c>
      <c r="D6" s="5" t="s">
        <v>12</v>
      </c>
      <c r="E6" s="2">
        <v>10476</v>
      </c>
      <c r="F6" s="1">
        <v>945</v>
      </c>
    </row>
    <row r="7" spans="1:6" x14ac:dyDescent="0.25">
      <c r="A7" s="5" t="s">
        <v>26</v>
      </c>
      <c r="B7" s="2">
        <v>4057</v>
      </c>
      <c r="D7" s="5" t="s">
        <v>543</v>
      </c>
      <c r="E7" s="2">
        <v>36963</v>
      </c>
      <c r="F7" s="1">
        <v>5615</v>
      </c>
    </row>
    <row r="8" spans="1:6" x14ac:dyDescent="0.25">
      <c r="A8" s="5" t="s">
        <v>45</v>
      </c>
      <c r="B8" s="2">
        <v>3139</v>
      </c>
    </row>
    <row r="9" spans="1:6" x14ac:dyDescent="0.25">
      <c r="A9" s="5" t="s">
        <v>543</v>
      </c>
      <c r="B9" s="2">
        <v>25671</v>
      </c>
    </row>
    <row r="10" spans="1:6" x14ac:dyDescent="0.25">
      <c r="D10" s="4" t="s">
        <v>542</v>
      </c>
      <c r="E10" t="s">
        <v>546</v>
      </c>
      <c r="F10" t="s">
        <v>547</v>
      </c>
    </row>
    <row r="11" spans="1:6" x14ac:dyDescent="0.25">
      <c r="D11" s="5" t="s">
        <v>10</v>
      </c>
      <c r="E11" s="2">
        <v>12547</v>
      </c>
      <c r="F11" s="1">
        <v>2456</v>
      </c>
    </row>
    <row r="12" spans="1:6" x14ac:dyDescent="0.25">
      <c r="D12" s="5" t="s">
        <v>19</v>
      </c>
      <c r="E12" s="2">
        <v>12612</v>
      </c>
      <c r="F12" s="1">
        <v>672</v>
      </c>
    </row>
    <row r="13" spans="1:6" x14ac:dyDescent="0.25">
      <c r="D13" s="5" t="s">
        <v>82</v>
      </c>
      <c r="E13" s="2">
        <v>3694</v>
      </c>
      <c r="F13" s="1">
        <v>741</v>
      </c>
    </row>
    <row r="14" spans="1:6" x14ac:dyDescent="0.25">
      <c r="D14" s="5" t="s">
        <v>14</v>
      </c>
      <c r="E14" s="2">
        <v>4824</v>
      </c>
      <c r="F14" s="1">
        <v>589</v>
      </c>
    </row>
    <row r="15" spans="1:6" x14ac:dyDescent="0.25">
      <c r="D15" s="5" t="s">
        <v>28</v>
      </c>
      <c r="E15" s="2">
        <v>3286</v>
      </c>
      <c r="F15" s="1">
        <v>1157</v>
      </c>
    </row>
    <row r="16" spans="1:6" x14ac:dyDescent="0.25">
      <c r="D16" s="5" t="s">
        <v>543</v>
      </c>
      <c r="E16" s="2">
        <v>36963</v>
      </c>
      <c r="F16" s="1">
        <v>5615</v>
      </c>
    </row>
    <row r="19" spans="4:8" x14ac:dyDescent="0.25">
      <c r="D19" s="4" t="s">
        <v>542</v>
      </c>
      <c r="E19" t="s">
        <v>546</v>
      </c>
      <c r="G19" s="4" t="s">
        <v>542</v>
      </c>
      <c r="H19" t="s">
        <v>547</v>
      </c>
    </row>
    <row r="20" spans="4:8" x14ac:dyDescent="0.25">
      <c r="D20" s="5" t="s">
        <v>16</v>
      </c>
      <c r="E20" s="2">
        <v>6516</v>
      </c>
      <c r="G20" s="5" t="s">
        <v>30</v>
      </c>
      <c r="H20" s="1">
        <v>741</v>
      </c>
    </row>
    <row r="21" spans="4:8" x14ac:dyDescent="0.25">
      <c r="D21" s="5" t="s">
        <v>18</v>
      </c>
      <c r="E21" s="2">
        <v>8606</v>
      </c>
      <c r="G21" s="5" t="s">
        <v>26</v>
      </c>
      <c r="H21" s="1">
        <v>795</v>
      </c>
    </row>
    <row r="22" spans="4:8" x14ac:dyDescent="0.25">
      <c r="D22" s="5" t="s">
        <v>26</v>
      </c>
      <c r="E22" s="2">
        <v>4057</v>
      </c>
      <c r="G22" s="5" t="s">
        <v>57</v>
      </c>
      <c r="H22" s="1">
        <v>671</v>
      </c>
    </row>
    <row r="23" spans="4:8" x14ac:dyDescent="0.25">
      <c r="D23" s="5" t="s">
        <v>543</v>
      </c>
      <c r="E23" s="2">
        <v>19179</v>
      </c>
      <c r="G23" s="5" t="s">
        <v>543</v>
      </c>
      <c r="H23" s="1">
        <v>2207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92A9-6D0E-4B22-BC7A-B0B82B744BF9}">
  <dimension ref="A1:S504"/>
  <sheetViews>
    <sheetView topLeftCell="G1" workbookViewId="0">
      <selection activeCell="B1" sqref="B1"/>
    </sheetView>
  </sheetViews>
  <sheetFormatPr defaultRowHeight="15" x14ac:dyDescent="0.25"/>
  <cols>
    <col min="1" max="1" width="16.42578125" bestFit="1" customWidth="1"/>
    <col min="2" max="2" width="14.7109375" bestFit="1" customWidth="1"/>
    <col min="3" max="3" width="12.7109375" bestFit="1" customWidth="1"/>
    <col min="4" max="4" width="15.28515625" bestFit="1" customWidth="1"/>
    <col min="5" max="5" width="19.42578125" bestFit="1" customWidth="1"/>
    <col min="6" max="6" width="11.42578125" customWidth="1"/>
    <col min="7" max="7" width="11" customWidth="1"/>
    <col min="8" max="8" width="13.42578125" bestFit="1" customWidth="1"/>
    <col min="9" max="9" width="14.7109375" bestFit="1" customWidth="1"/>
    <col min="10" max="10" width="12.7109375" bestFit="1" customWidth="1"/>
    <col min="11" max="11" width="15.28515625" bestFit="1" customWidth="1"/>
    <col min="12" max="13" width="22.7109375" bestFit="1" customWidth="1"/>
    <col min="14" max="14" width="6.140625" bestFit="1" customWidth="1"/>
    <col min="15" max="15" width="7" bestFit="1" customWidth="1"/>
    <col min="16" max="16" width="13.42578125" bestFit="1" customWidth="1"/>
    <col min="17" max="17" width="14.7109375" bestFit="1" customWidth="1"/>
    <col min="18" max="18" width="12.7109375" bestFit="1" customWidth="1"/>
    <col min="19" max="19" width="16.85546875" bestFit="1" customWidth="1"/>
  </cols>
  <sheetData>
    <row r="1" spans="1:19" x14ac:dyDescent="0.25">
      <c r="A1" s="4" t="s">
        <v>4</v>
      </c>
      <c r="B1" t="s">
        <v>582</v>
      </c>
    </row>
    <row r="2" spans="1:19" x14ac:dyDescent="0.25">
      <c r="A2" t="s">
        <v>553</v>
      </c>
      <c r="H2" t="s">
        <v>554</v>
      </c>
    </row>
    <row r="3" spans="1:19" x14ac:dyDescent="0.25">
      <c r="A3" s="4" t="s">
        <v>542</v>
      </c>
      <c r="B3" t="s">
        <v>548</v>
      </c>
      <c r="C3" t="s">
        <v>546</v>
      </c>
      <c r="D3" t="s">
        <v>547</v>
      </c>
      <c r="E3" t="s">
        <v>549</v>
      </c>
      <c r="H3" s="4" t="s">
        <v>542</v>
      </c>
      <c r="I3" t="s">
        <v>550</v>
      </c>
      <c r="J3" t="s">
        <v>548</v>
      </c>
      <c r="K3" t="s">
        <v>556</v>
      </c>
      <c r="L3" t="s">
        <v>546</v>
      </c>
      <c r="M3" t="s">
        <v>551</v>
      </c>
      <c r="P3" s="4" t="s">
        <v>542</v>
      </c>
      <c r="Q3" t="s">
        <v>548</v>
      </c>
      <c r="R3" t="s">
        <v>546</v>
      </c>
      <c r="S3" t="s">
        <v>552</v>
      </c>
    </row>
    <row r="4" spans="1:19" x14ac:dyDescent="0.25">
      <c r="A4" s="5" t="s">
        <v>18</v>
      </c>
      <c r="B4" s="2">
        <v>59252</v>
      </c>
      <c r="C4" s="2">
        <v>8606</v>
      </c>
      <c r="D4" s="1">
        <v>291</v>
      </c>
      <c r="E4" s="7">
        <v>0.14524404239519342</v>
      </c>
      <c r="H4" s="5" t="s">
        <v>14</v>
      </c>
      <c r="I4">
        <v>120</v>
      </c>
      <c r="J4" s="2">
        <v>77881</v>
      </c>
      <c r="K4" s="2">
        <v>649.00833333333333</v>
      </c>
      <c r="L4" s="2">
        <v>4824</v>
      </c>
      <c r="M4" s="7">
        <v>6.1940653047598257E-2</v>
      </c>
      <c r="P4" s="5" t="s">
        <v>346</v>
      </c>
      <c r="Q4" s="2">
        <v>1429</v>
      </c>
      <c r="R4" s="2">
        <v>1078</v>
      </c>
      <c r="S4">
        <v>4</v>
      </c>
    </row>
    <row r="5" spans="1:19" x14ac:dyDescent="0.25">
      <c r="A5" s="5" t="s">
        <v>16</v>
      </c>
      <c r="B5" s="2">
        <v>56861</v>
      </c>
      <c r="C5" s="2">
        <v>6516</v>
      </c>
      <c r="D5" s="1">
        <v>297</v>
      </c>
      <c r="E5" s="7">
        <v>0.11459524102636254</v>
      </c>
      <c r="H5" s="5" t="s">
        <v>19</v>
      </c>
      <c r="I5">
        <v>163</v>
      </c>
      <c r="J5" s="2">
        <v>86932</v>
      </c>
      <c r="K5" s="2">
        <v>533.32515337423308</v>
      </c>
      <c r="L5" s="2">
        <v>12612</v>
      </c>
      <c r="M5" s="7">
        <v>0.14507891225325542</v>
      </c>
      <c r="P5" s="5" t="s">
        <v>20</v>
      </c>
      <c r="Q5" s="2">
        <v>3889</v>
      </c>
      <c r="R5" s="2">
        <v>975</v>
      </c>
      <c r="S5">
        <v>5</v>
      </c>
    </row>
    <row r="6" spans="1:19" x14ac:dyDescent="0.25">
      <c r="A6" s="5" t="s">
        <v>26</v>
      </c>
      <c r="B6" s="2">
        <v>59094</v>
      </c>
      <c r="C6" s="2">
        <v>4057</v>
      </c>
      <c r="D6" s="1">
        <v>795</v>
      </c>
      <c r="E6" s="7">
        <v>6.8653331979557988E-2</v>
      </c>
      <c r="H6" s="5" t="s">
        <v>82</v>
      </c>
      <c r="I6">
        <v>202</v>
      </c>
      <c r="J6" s="2">
        <v>49136</v>
      </c>
      <c r="K6" s="2">
        <v>243.24752475247524</v>
      </c>
      <c r="L6" s="2">
        <v>3694</v>
      </c>
      <c r="M6" s="7">
        <v>7.5179094757408013E-2</v>
      </c>
      <c r="P6" s="5" t="s">
        <v>149</v>
      </c>
      <c r="Q6" s="2">
        <v>2025</v>
      </c>
      <c r="R6" s="2">
        <v>-180</v>
      </c>
      <c r="S6">
        <v>8</v>
      </c>
    </row>
    <row r="7" spans="1:19" x14ac:dyDescent="0.25">
      <c r="A7" s="5" t="s">
        <v>73</v>
      </c>
      <c r="B7" s="2">
        <v>21728</v>
      </c>
      <c r="C7" s="2">
        <v>3353</v>
      </c>
      <c r="D7" s="1">
        <v>262</v>
      </c>
      <c r="E7" s="7">
        <v>0.15431701030927836</v>
      </c>
      <c r="H7" s="5" t="s">
        <v>10</v>
      </c>
      <c r="I7">
        <v>684</v>
      </c>
      <c r="J7" s="2">
        <v>155181</v>
      </c>
      <c r="K7" s="2">
        <v>226.87280701754386</v>
      </c>
      <c r="L7" s="2">
        <v>12547</v>
      </c>
      <c r="M7" s="7">
        <v>8.085397052474208E-2</v>
      </c>
      <c r="P7" s="5" t="s">
        <v>324</v>
      </c>
      <c r="Q7" s="2">
        <v>222</v>
      </c>
      <c r="R7" s="2">
        <v>22</v>
      </c>
      <c r="S7">
        <v>2</v>
      </c>
    </row>
    <row r="8" spans="1:19" x14ac:dyDescent="0.25">
      <c r="A8" s="5" t="s">
        <v>45</v>
      </c>
      <c r="B8" s="2">
        <v>22614</v>
      </c>
      <c r="C8" s="2">
        <v>3139</v>
      </c>
      <c r="D8" s="1">
        <v>61</v>
      </c>
      <c r="E8" s="7">
        <v>0.13880781816573803</v>
      </c>
      <c r="H8" s="5" t="s">
        <v>28</v>
      </c>
      <c r="I8">
        <v>331</v>
      </c>
      <c r="J8" s="2">
        <v>68641</v>
      </c>
      <c r="K8" s="2">
        <v>207.37462235649548</v>
      </c>
      <c r="L8" s="2">
        <v>3286</v>
      </c>
      <c r="M8" s="7">
        <v>4.7872262933232324E-2</v>
      </c>
      <c r="P8" s="5" t="s">
        <v>468</v>
      </c>
      <c r="Q8" s="2">
        <v>75</v>
      </c>
      <c r="R8" s="2">
        <v>0</v>
      </c>
      <c r="S8">
        <v>1</v>
      </c>
    </row>
    <row r="9" spans="1:19" x14ac:dyDescent="0.25">
      <c r="A9" s="5" t="s">
        <v>24</v>
      </c>
      <c r="B9" s="2">
        <v>30039</v>
      </c>
      <c r="C9" s="2">
        <v>2847</v>
      </c>
      <c r="D9" s="1">
        <v>135</v>
      </c>
      <c r="E9" s="7">
        <v>9.4776790172775391E-2</v>
      </c>
      <c r="H9" s="5" t="s">
        <v>543</v>
      </c>
      <c r="I9">
        <v>1500</v>
      </c>
      <c r="J9" s="2">
        <v>437771</v>
      </c>
      <c r="K9" s="2">
        <v>291.84733333333332</v>
      </c>
      <c r="L9" s="2">
        <v>36963</v>
      </c>
      <c r="M9" s="7">
        <v>8.4434555966475616E-2</v>
      </c>
      <c r="P9" s="5" t="s">
        <v>396</v>
      </c>
      <c r="Q9" s="2">
        <v>87</v>
      </c>
      <c r="R9" s="2">
        <v>4</v>
      </c>
      <c r="S9">
        <v>1</v>
      </c>
    </row>
    <row r="10" spans="1:19" x14ac:dyDescent="0.25">
      <c r="A10" s="5" t="s">
        <v>57</v>
      </c>
      <c r="B10" s="2">
        <v>18546</v>
      </c>
      <c r="C10" s="2">
        <v>2431</v>
      </c>
      <c r="D10" s="1">
        <v>671</v>
      </c>
      <c r="E10" s="7">
        <v>0.13107947805456702</v>
      </c>
      <c r="P10" s="5" t="s">
        <v>151</v>
      </c>
      <c r="Q10" s="2">
        <v>50</v>
      </c>
      <c r="R10" s="2">
        <v>-15</v>
      </c>
      <c r="S10">
        <v>1</v>
      </c>
    </row>
    <row r="11" spans="1:19" x14ac:dyDescent="0.25">
      <c r="A11" s="5" t="s">
        <v>21</v>
      </c>
      <c r="B11" s="2">
        <v>46119</v>
      </c>
      <c r="C11" s="2">
        <v>1847</v>
      </c>
      <c r="D11" s="1">
        <v>304</v>
      </c>
      <c r="E11" s="7">
        <v>4.0048570003686119E-2</v>
      </c>
      <c r="H11" s="5" t="s">
        <v>555</v>
      </c>
      <c r="P11" s="5" t="s">
        <v>87</v>
      </c>
      <c r="Q11" s="2">
        <v>2953</v>
      </c>
      <c r="R11" s="2">
        <v>2272</v>
      </c>
      <c r="S11">
        <v>4</v>
      </c>
    </row>
    <row r="12" spans="1:19" x14ac:dyDescent="0.25">
      <c r="A12" s="5" t="s">
        <v>30</v>
      </c>
      <c r="B12" s="2">
        <v>14294</v>
      </c>
      <c r="C12" s="2">
        <v>1823</v>
      </c>
      <c r="D12" s="1">
        <v>741</v>
      </c>
      <c r="E12" s="7">
        <v>0.1275360291031202</v>
      </c>
      <c r="H12" s="4" t="s">
        <v>542</v>
      </c>
      <c r="I12" t="s">
        <v>548</v>
      </c>
      <c r="J12" t="s">
        <v>546</v>
      </c>
      <c r="K12" t="s">
        <v>547</v>
      </c>
      <c r="L12" t="s">
        <v>551</v>
      </c>
      <c r="P12" s="5" t="s">
        <v>190</v>
      </c>
      <c r="Q12" s="2">
        <v>734</v>
      </c>
      <c r="R12" s="2">
        <v>24</v>
      </c>
      <c r="S12">
        <v>2</v>
      </c>
    </row>
    <row r="13" spans="1:19" x14ac:dyDescent="0.25">
      <c r="A13" s="5" t="s">
        <v>13</v>
      </c>
      <c r="B13" s="2">
        <v>34222</v>
      </c>
      <c r="C13" s="2">
        <v>1627</v>
      </c>
      <c r="D13" s="1">
        <v>277</v>
      </c>
      <c r="E13" s="7">
        <v>4.754251650984747E-2</v>
      </c>
      <c r="H13" s="5" t="s">
        <v>23</v>
      </c>
      <c r="I13" s="2">
        <v>144323</v>
      </c>
      <c r="J13" s="2">
        <v>13325</v>
      </c>
      <c r="K13" s="1">
        <v>3516</v>
      </c>
      <c r="L13" s="7">
        <v>9.2327626227281856E-2</v>
      </c>
      <c r="P13" s="5" t="s">
        <v>265</v>
      </c>
      <c r="Q13" s="2">
        <v>2105</v>
      </c>
      <c r="R13" s="2">
        <v>442</v>
      </c>
      <c r="S13">
        <v>6</v>
      </c>
    </row>
    <row r="14" spans="1:19" x14ac:dyDescent="0.25">
      <c r="A14" s="5" t="s">
        <v>142</v>
      </c>
      <c r="B14" s="2">
        <v>7555</v>
      </c>
      <c r="C14" s="2">
        <v>1513</v>
      </c>
      <c r="D14" s="1">
        <v>271</v>
      </c>
      <c r="E14" s="7">
        <v>0.20026472534745202</v>
      </c>
      <c r="H14" s="5" t="s">
        <v>8</v>
      </c>
      <c r="I14" s="2">
        <v>166267</v>
      </c>
      <c r="J14" s="2">
        <v>13162</v>
      </c>
      <c r="K14" s="1">
        <v>1154</v>
      </c>
      <c r="L14" s="7">
        <v>7.9161830068504274E-2</v>
      </c>
      <c r="P14" s="5" t="s">
        <v>423</v>
      </c>
      <c r="Q14" s="2">
        <v>160</v>
      </c>
      <c r="R14" s="2">
        <v>-59</v>
      </c>
      <c r="S14">
        <v>1</v>
      </c>
    </row>
    <row r="15" spans="1:19" x14ac:dyDescent="0.25">
      <c r="A15" s="5" t="s">
        <v>81</v>
      </c>
      <c r="B15" s="2">
        <v>7382</v>
      </c>
      <c r="C15" s="2">
        <v>1500</v>
      </c>
      <c r="D15" s="1">
        <v>305</v>
      </c>
      <c r="E15" s="7">
        <v>0.2031969655919805</v>
      </c>
      <c r="H15" s="5" t="s">
        <v>12</v>
      </c>
      <c r="I15" s="2">
        <v>127181</v>
      </c>
      <c r="J15" s="2">
        <v>10476</v>
      </c>
      <c r="K15" s="1">
        <v>945</v>
      </c>
      <c r="L15" s="7">
        <v>8.2370794379663631E-2</v>
      </c>
      <c r="P15" s="5" t="s">
        <v>267</v>
      </c>
      <c r="Q15" s="2">
        <v>259</v>
      </c>
      <c r="R15" s="2">
        <v>-55</v>
      </c>
      <c r="S15">
        <v>1</v>
      </c>
    </row>
    <row r="16" spans="1:19" x14ac:dyDescent="0.25">
      <c r="A16" s="5" t="s">
        <v>63</v>
      </c>
      <c r="B16" s="2">
        <v>2106</v>
      </c>
      <c r="C16" s="2">
        <v>-130</v>
      </c>
      <c r="D16" s="1">
        <v>186</v>
      </c>
      <c r="E16" s="7">
        <v>-6.1728395061728392E-2</v>
      </c>
      <c r="H16" s="5" t="s">
        <v>543</v>
      </c>
      <c r="I16" s="2">
        <v>437771</v>
      </c>
      <c r="J16" s="2">
        <v>36963</v>
      </c>
      <c r="K16" s="1">
        <v>5615</v>
      </c>
      <c r="L16" s="7">
        <v>8.4434555966475616E-2</v>
      </c>
      <c r="P16" s="5" t="s">
        <v>75</v>
      </c>
      <c r="Q16" s="2">
        <v>1603</v>
      </c>
      <c r="R16" s="2">
        <v>0</v>
      </c>
      <c r="S16">
        <v>1</v>
      </c>
    </row>
    <row r="17" spans="1:19" x14ac:dyDescent="0.25">
      <c r="A17" s="5" t="s">
        <v>43</v>
      </c>
      <c r="B17" s="2">
        <v>1946</v>
      </c>
      <c r="C17" s="2">
        <v>-315</v>
      </c>
      <c r="D17" s="1">
        <v>248</v>
      </c>
      <c r="E17" s="7">
        <v>-0.16187050359712229</v>
      </c>
      <c r="P17" s="5" t="s">
        <v>440</v>
      </c>
      <c r="Q17" s="2">
        <v>592</v>
      </c>
      <c r="R17" s="2">
        <v>42</v>
      </c>
      <c r="S17">
        <v>2</v>
      </c>
    </row>
    <row r="18" spans="1:19" x14ac:dyDescent="0.25">
      <c r="A18" s="5" t="s">
        <v>32</v>
      </c>
      <c r="B18" s="2">
        <v>3361</v>
      </c>
      <c r="C18" s="2">
        <v>-401</v>
      </c>
      <c r="D18" s="1">
        <v>164</v>
      </c>
      <c r="E18" s="7">
        <v>-0.11930972924724784</v>
      </c>
      <c r="P18" s="5" t="s">
        <v>320</v>
      </c>
      <c r="Q18" s="2">
        <v>68</v>
      </c>
      <c r="R18" s="2">
        <v>20</v>
      </c>
      <c r="S18">
        <v>1</v>
      </c>
    </row>
    <row r="19" spans="1:19" x14ac:dyDescent="0.25">
      <c r="A19" s="5" t="s">
        <v>9</v>
      </c>
      <c r="B19" s="2">
        <v>39168</v>
      </c>
      <c r="C19" s="2">
        <v>-644</v>
      </c>
      <c r="D19" s="1">
        <v>297</v>
      </c>
      <c r="E19" s="7">
        <v>-1.6441993464052288E-2</v>
      </c>
      <c r="H19" s="4" t="s">
        <v>542</v>
      </c>
      <c r="I19" t="s">
        <v>550</v>
      </c>
      <c r="J19" t="s">
        <v>548</v>
      </c>
      <c r="K19" t="s">
        <v>556</v>
      </c>
      <c r="L19" t="s">
        <v>546</v>
      </c>
      <c r="M19" t="s">
        <v>551</v>
      </c>
      <c r="P19" s="5" t="s">
        <v>107</v>
      </c>
      <c r="Q19" s="2">
        <v>194</v>
      </c>
      <c r="R19" s="2">
        <v>-48</v>
      </c>
      <c r="S19">
        <v>4</v>
      </c>
    </row>
    <row r="20" spans="1:19" x14ac:dyDescent="0.25">
      <c r="A20" s="5" t="s">
        <v>131</v>
      </c>
      <c r="B20" s="2">
        <v>13484</v>
      </c>
      <c r="C20" s="2">
        <v>-806</v>
      </c>
      <c r="D20" s="1">
        <v>310</v>
      </c>
      <c r="E20" s="7">
        <v>-5.9774547611984571E-2</v>
      </c>
      <c r="H20" s="5" t="s">
        <v>19</v>
      </c>
      <c r="I20">
        <v>163</v>
      </c>
      <c r="J20" s="2">
        <v>86932</v>
      </c>
      <c r="K20" s="2">
        <v>533.32515337423308</v>
      </c>
      <c r="L20" s="2">
        <v>12612</v>
      </c>
      <c r="M20" s="7">
        <v>0.14507891225325542</v>
      </c>
      <c r="P20" s="5" t="s">
        <v>476</v>
      </c>
      <c r="Q20" s="2">
        <v>305</v>
      </c>
      <c r="R20" s="2">
        <v>-270</v>
      </c>
      <c r="S20">
        <v>1</v>
      </c>
    </row>
    <row r="21" spans="1:19" x14ac:dyDescent="0.25">
      <c r="A21" s="5" t="s">
        <v>543</v>
      </c>
      <c r="B21" s="2">
        <v>437771</v>
      </c>
      <c r="C21" s="2">
        <v>36963</v>
      </c>
      <c r="D21" s="1">
        <v>5615</v>
      </c>
      <c r="E21" s="7">
        <v>8.4434555966475616E-2</v>
      </c>
      <c r="H21" s="5" t="s">
        <v>10</v>
      </c>
      <c r="I21">
        <v>684</v>
      </c>
      <c r="J21" s="2">
        <v>155181</v>
      </c>
      <c r="K21" s="2">
        <v>226.87280701754386</v>
      </c>
      <c r="L21" s="2">
        <v>12547</v>
      </c>
      <c r="M21" s="7">
        <v>8.085397052474208E-2</v>
      </c>
      <c r="P21" s="5" t="s">
        <v>65</v>
      </c>
      <c r="Q21" s="2">
        <v>374</v>
      </c>
      <c r="R21" s="2">
        <v>127</v>
      </c>
      <c r="S21">
        <v>2</v>
      </c>
    </row>
    <row r="22" spans="1:19" x14ac:dyDescent="0.25">
      <c r="H22" s="5" t="s">
        <v>82</v>
      </c>
      <c r="I22">
        <v>202</v>
      </c>
      <c r="J22" s="2">
        <v>49136</v>
      </c>
      <c r="K22" s="2">
        <v>243.24752475247524</v>
      </c>
      <c r="L22" s="2">
        <v>3694</v>
      </c>
      <c r="M22" s="7">
        <v>7.5179094757408013E-2</v>
      </c>
      <c r="P22" s="5" t="s">
        <v>502</v>
      </c>
      <c r="Q22" s="2">
        <v>353</v>
      </c>
      <c r="R22" s="2">
        <v>90</v>
      </c>
      <c r="S22">
        <v>1</v>
      </c>
    </row>
    <row r="23" spans="1:19" x14ac:dyDescent="0.25">
      <c r="H23" s="5" t="s">
        <v>14</v>
      </c>
      <c r="I23">
        <v>120</v>
      </c>
      <c r="J23" s="2">
        <v>77881</v>
      </c>
      <c r="K23" s="2">
        <v>649.00833333333333</v>
      </c>
      <c r="L23" s="2">
        <v>4824</v>
      </c>
      <c r="M23" s="7">
        <v>6.1940653047598257E-2</v>
      </c>
      <c r="P23" s="5" t="s">
        <v>339</v>
      </c>
      <c r="Q23" s="2">
        <v>193</v>
      </c>
      <c r="R23" s="2">
        <v>46</v>
      </c>
      <c r="S23">
        <v>1</v>
      </c>
    </row>
    <row r="24" spans="1:19" x14ac:dyDescent="0.25">
      <c r="H24" s="5" t="s">
        <v>28</v>
      </c>
      <c r="I24">
        <v>331</v>
      </c>
      <c r="J24" s="2">
        <v>68641</v>
      </c>
      <c r="K24" s="2">
        <v>207.37462235649548</v>
      </c>
      <c r="L24" s="2">
        <v>3286</v>
      </c>
      <c r="M24" s="7">
        <v>4.7872262933232324E-2</v>
      </c>
      <c r="P24" s="5" t="s">
        <v>239</v>
      </c>
      <c r="Q24" s="2">
        <v>794</v>
      </c>
      <c r="R24" s="2">
        <v>38</v>
      </c>
      <c r="S24">
        <v>3</v>
      </c>
    </row>
    <row r="25" spans="1:19" x14ac:dyDescent="0.25">
      <c r="H25" s="5" t="s">
        <v>543</v>
      </c>
      <c r="I25">
        <v>1500</v>
      </c>
      <c r="J25" s="2">
        <v>437771</v>
      </c>
      <c r="K25" s="2">
        <v>291.84733333333332</v>
      </c>
      <c r="L25" s="2">
        <v>36963</v>
      </c>
      <c r="M25" s="7">
        <v>8.4434555966475616E-2</v>
      </c>
      <c r="P25" s="5" t="s">
        <v>495</v>
      </c>
      <c r="Q25" s="2">
        <v>534</v>
      </c>
      <c r="R25" s="2">
        <v>0</v>
      </c>
      <c r="S25">
        <v>1</v>
      </c>
    </row>
    <row r="26" spans="1:19" x14ac:dyDescent="0.25">
      <c r="P26" s="5" t="s">
        <v>336</v>
      </c>
      <c r="Q26" s="2">
        <v>465</v>
      </c>
      <c r="R26" s="2">
        <v>3</v>
      </c>
      <c r="S26">
        <v>4</v>
      </c>
    </row>
    <row r="27" spans="1:19" x14ac:dyDescent="0.25">
      <c r="P27" s="5" t="s">
        <v>509</v>
      </c>
      <c r="Q27" s="2">
        <v>26</v>
      </c>
      <c r="R27" s="2">
        <v>12</v>
      </c>
      <c r="S27">
        <v>1</v>
      </c>
    </row>
    <row r="28" spans="1:19" x14ac:dyDescent="0.25">
      <c r="P28" s="5" t="s">
        <v>298</v>
      </c>
      <c r="Q28" s="2">
        <v>791</v>
      </c>
      <c r="R28" s="2">
        <v>-350</v>
      </c>
      <c r="S28">
        <v>3</v>
      </c>
    </row>
    <row r="29" spans="1:19" x14ac:dyDescent="0.25">
      <c r="P29" s="5" t="s">
        <v>470</v>
      </c>
      <c r="Q29" s="2">
        <v>1149</v>
      </c>
      <c r="R29" s="2">
        <v>262</v>
      </c>
      <c r="S29">
        <v>2</v>
      </c>
    </row>
    <row r="30" spans="1:19" x14ac:dyDescent="0.25">
      <c r="P30" s="5" t="s">
        <v>451</v>
      </c>
      <c r="Q30" s="2">
        <v>55</v>
      </c>
      <c r="R30" s="2">
        <v>-39</v>
      </c>
      <c r="S30">
        <v>1</v>
      </c>
    </row>
    <row r="31" spans="1:19" x14ac:dyDescent="0.25">
      <c r="P31" s="5" t="s">
        <v>236</v>
      </c>
      <c r="Q31" s="2">
        <v>299</v>
      </c>
      <c r="R31" s="2">
        <v>-4</v>
      </c>
      <c r="S31">
        <v>3</v>
      </c>
    </row>
    <row r="32" spans="1:19" x14ac:dyDescent="0.25">
      <c r="P32" s="5" t="s">
        <v>529</v>
      </c>
      <c r="Q32" s="2">
        <v>1560</v>
      </c>
      <c r="R32" s="2">
        <v>421</v>
      </c>
      <c r="S32">
        <v>1</v>
      </c>
    </row>
    <row r="33" spans="16:19" x14ac:dyDescent="0.25">
      <c r="P33" s="5" t="s">
        <v>229</v>
      </c>
      <c r="Q33" s="2">
        <v>506</v>
      </c>
      <c r="R33" s="2">
        <v>-211</v>
      </c>
      <c r="S33">
        <v>6</v>
      </c>
    </row>
    <row r="34" spans="16:19" x14ac:dyDescent="0.25">
      <c r="P34" s="5" t="s">
        <v>393</v>
      </c>
      <c r="Q34" s="2">
        <v>89</v>
      </c>
      <c r="R34" s="2">
        <v>-89</v>
      </c>
      <c r="S34">
        <v>1</v>
      </c>
    </row>
    <row r="35" spans="16:19" x14ac:dyDescent="0.25">
      <c r="P35" s="5" t="s">
        <v>138</v>
      </c>
      <c r="Q35" s="2">
        <v>19</v>
      </c>
      <c r="R35" s="2">
        <v>-2</v>
      </c>
      <c r="S35">
        <v>1</v>
      </c>
    </row>
    <row r="36" spans="16:19" x14ac:dyDescent="0.25">
      <c r="P36" s="5" t="s">
        <v>189</v>
      </c>
      <c r="Q36" s="2">
        <v>1456</v>
      </c>
      <c r="R36" s="2">
        <v>-217</v>
      </c>
      <c r="S36">
        <v>3</v>
      </c>
    </row>
    <row r="37" spans="16:19" x14ac:dyDescent="0.25">
      <c r="P37" s="5" t="s">
        <v>489</v>
      </c>
      <c r="Q37" s="2">
        <v>389</v>
      </c>
      <c r="R37" s="2">
        <v>-83</v>
      </c>
      <c r="S37">
        <v>1</v>
      </c>
    </row>
    <row r="38" spans="16:19" x14ac:dyDescent="0.25">
      <c r="P38" s="5" t="s">
        <v>259</v>
      </c>
      <c r="Q38" s="2">
        <v>445</v>
      </c>
      <c r="R38" s="2">
        <v>48</v>
      </c>
      <c r="S38">
        <v>3</v>
      </c>
    </row>
    <row r="39" spans="16:19" x14ac:dyDescent="0.25">
      <c r="P39" s="5" t="s">
        <v>505</v>
      </c>
      <c r="Q39" s="2">
        <v>637</v>
      </c>
      <c r="R39" s="2">
        <v>113</v>
      </c>
      <c r="S39">
        <v>1</v>
      </c>
    </row>
    <row r="40" spans="16:19" x14ac:dyDescent="0.25">
      <c r="P40" s="5" t="s">
        <v>387</v>
      </c>
      <c r="Q40" s="2">
        <v>117</v>
      </c>
      <c r="R40" s="2">
        <v>14</v>
      </c>
      <c r="S40">
        <v>1</v>
      </c>
    </row>
    <row r="41" spans="16:19" x14ac:dyDescent="0.25">
      <c r="P41" s="5" t="s">
        <v>359</v>
      </c>
      <c r="Q41" s="2">
        <v>2032</v>
      </c>
      <c r="R41" s="2">
        <v>29</v>
      </c>
      <c r="S41">
        <v>4</v>
      </c>
    </row>
    <row r="42" spans="16:19" x14ac:dyDescent="0.25">
      <c r="P42" s="5" t="s">
        <v>526</v>
      </c>
      <c r="Q42" s="2">
        <v>1629</v>
      </c>
      <c r="R42" s="2">
        <v>-153</v>
      </c>
      <c r="S42">
        <v>1</v>
      </c>
    </row>
    <row r="43" spans="16:19" x14ac:dyDescent="0.25">
      <c r="P43" s="5" t="s">
        <v>78</v>
      </c>
      <c r="Q43" s="2">
        <v>1689</v>
      </c>
      <c r="R43" s="2">
        <v>130</v>
      </c>
      <c r="S43">
        <v>3</v>
      </c>
    </row>
    <row r="44" spans="16:19" x14ac:dyDescent="0.25">
      <c r="P44" s="5" t="s">
        <v>369</v>
      </c>
      <c r="Q44" s="2">
        <v>22</v>
      </c>
      <c r="R44" s="2">
        <v>-6</v>
      </c>
      <c r="S44">
        <v>1</v>
      </c>
    </row>
    <row r="45" spans="16:19" x14ac:dyDescent="0.25">
      <c r="P45" s="5" t="s">
        <v>247</v>
      </c>
      <c r="Q45" s="2">
        <v>434</v>
      </c>
      <c r="R45" s="2">
        <v>26</v>
      </c>
      <c r="S45">
        <v>1</v>
      </c>
    </row>
    <row r="46" spans="16:19" x14ac:dyDescent="0.25">
      <c r="P46" s="5" t="s">
        <v>29</v>
      </c>
      <c r="Q46" s="2">
        <v>1447</v>
      </c>
      <c r="R46" s="2">
        <v>-173</v>
      </c>
      <c r="S46">
        <v>5</v>
      </c>
    </row>
    <row r="47" spans="16:19" x14ac:dyDescent="0.25">
      <c r="P47" s="5" t="s">
        <v>411</v>
      </c>
      <c r="Q47" s="2">
        <v>76</v>
      </c>
      <c r="R47" s="2">
        <v>-92</v>
      </c>
      <c r="S47">
        <v>1</v>
      </c>
    </row>
    <row r="48" spans="16:19" x14ac:dyDescent="0.25">
      <c r="P48" s="5" t="s">
        <v>258</v>
      </c>
      <c r="Q48" s="2">
        <v>675</v>
      </c>
      <c r="R48" s="2">
        <v>-195</v>
      </c>
      <c r="S48">
        <v>4</v>
      </c>
    </row>
    <row r="49" spans="16:19" x14ac:dyDescent="0.25">
      <c r="P49" s="5" t="s">
        <v>357</v>
      </c>
      <c r="Q49" s="2">
        <v>299</v>
      </c>
      <c r="R49" s="2">
        <v>-8</v>
      </c>
      <c r="S49">
        <v>1</v>
      </c>
    </row>
    <row r="50" spans="16:19" x14ac:dyDescent="0.25">
      <c r="P50" s="5" t="s">
        <v>377</v>
      </c>
      <c r="Q50" s="2">
        <v>42</v>
      </c>
      <c r="R50" s="2">
        <v>-6</v>
      </c>
      <c r="S50">
        <v>1</v>
      </c>
    </row>
    <row r="51" spans="16:19" x14ac:dyDescent="0.25">
      <c r="P51" s="5" t="s">
        <v>218</v>
      </c>
      <c r="Q51" s="2">
        <v>315</v>
      </c>
      <c r="R51" s="2">
        <v>-77</v>
      </c>
      <c r="S51">
        <v>4</v>
      </c>
    </row>
    <row r="52" spans="16:19" x14ac:dyDescent="0.25">
      <c r="P52" s="5" t="s">
        <v>506</v>
      </c>
      <c r="Q52" s="2">
        <v>27</v>
      </c>
      <c r="R52" s="2">
        <v>-25</v>
      </c>
      <c r="S52">
        <v>1</v>
      </c>
    </row>
    <row r="53" spans="16:19" x14ac:dyDescent="0.25">
      <c r="P53" s="5" t="s">
        <v>135</v>
      </c>
      <c r="Q53" s="2">
        <v>2810</v>
      </c>
      <c r="R53" s="2">
        <v>-799</v>
      </c>
      <c r="S53">
        <v>9</v>
      </c>
    </row>
    <row r="54" spans="16:19" x14ac:dyDescent="0.25">
      <c r="P54" s="5" t="s">
        <v>119</v>
      </c>
      <c r="Q54" s="2">
        <v>1938</v>
      </c>
      <c r="R54" s="2">
        <v>-237</v>
      </c>
      <c r="S54">
        <v>10</v>
      </c>
    </row>
    <row r="55" spans="16:19" x14ac:dyDescent="0.25">
      <c r="P55" s="5" t="s">
        <v>308</v>
      </c>
      <c r="Q55" s="2">
        <v>493</v>
      </c>
      <c r="R55" s="2">
        <v>-324</v>
      </c>
      <c r="S55">
        <v>7</v>
      </c>
    </row>
    <row r="56" spans="16:19" x14ac:dyDescent="0.25">
      <c r="P56" s="5" t="s">
        <v>117</v>
      </c>
      <c r="Q56" s="2">
        <v>4434</v>
      </c>
      <c r="R56" s="2">
        <v>-406</v>
      </c>
      <c r="S56">
        <v>9</v>
      </c>
    </row>
    <row r="57" spans="16:19" x14ac:dyDescent="0.25">
      <c r="P57" s="5" t="s">
        <v>205</v>
      </c>
      <c r="Q57" s="2">
        <v>1384</v>
      </c>
      <c r="R57" s="2">
        <v>-182</v>
      </c>
      <c r="S57">
        <v>8</v>
      </c>
    </row>
    <row r="58" spans="16:19" x14ac:dyDescent="0.25">
      <c r="P58" s="5" t="s">
        <v>38</v>
      </c>
      <c r="Q58" s="2">
        <v>1055</v>
      </c>
      <c r="R58" s="2">
        <v>-635</v>
      </c>
      <c r="S58">
        <v>9</v>
      </c>
    </row>
    <row r="59" spans="16:19" x14ac:dyDescent="0.25">
      <c r="P59" s="5" t="s">
        <v>123</v>
      </c>
      <c r="Q59" s="2">
        <v>3895</v>
      </c>
      <c r="R59" s="2">
        <v>1021</v>
      </c>
      <c r="S59">
        <v>12</v>
      </c>
    </row>
    <row r="60" spans="16:19" x14ac:dyDescent="0.25">
      <c r="P60" s="5" t="s">
        <v>143</v>
      </c>
      <c r="Q60" s="2">
        <v>1673</v>
      </c>
      <c r="R60" s="2">
        <v>-293</v>
      </c>
      <c r="S60">
        <v>4</v>
      </c>
    </row>
    <row r="61" spans="16:19" x14ac:dyDescent="0.25">
      <c r="P61" s="5" t="s">
        <v>181</v>
      </c>
      <c r="Q61" s="2">
        <v>27</v>
      </c>
      <c r="R61" s="2">
        <v>9</v>
      </c>
      <c r="S61">
        <v>1</v>
      </c>
    </row>
    <row r="62" spans="16:19" x14ac:dyDescent="0.25">
      <c r="P62" s="5" t="s">
        <v>416</v>
      </c>
      <c r="Q62" s="2">
        <v>148</v>
      </c>
      <c r="R62" s="2">
        <v>72</v>
      </c>
      <c r="S62">
        <v>1</v>
      </c>
    </row>
    <row r="63" spans="16:19" x14ac:dyDescent="0.25">
      <c r="P63" s="5" t="s">
        <v>274</v>
      </c>
      <c r="Q63" s="2">
        <v>245</v>
      </c>
      <c r="R63" s="2">
        <v>-78</v>
      </c>
      <c r="S63">
        <v>1</v>
      </c>
    </row>
    <row r="64" spans="16:19" x14ac:dyDescent="0.25">
      <c r="P64" s="5" t="s">
        <v>290</v>
      </c>
      <c r="Q64" s="2">
        <v>508</v>
      </c>
      <c r="R64" s="2">
        <v>-276</v>
      </c>
      <c r="S64">
        <v>6</v>
      </c>
    </row>
    <row r="65" spans="16:19" x14ac:dyDescent="0.25">
      <c r="P65" s="5" t="s">
        <v>161</v>
      </c>
      <c r="Q65" s="2">
        <v>495</v>
      </c>
      <c r="R65" s="2">
        <v>-100</v>
      </c>
      <c r="S65">
        <v>3</v>
      </c>
    </row>
    <row r="66" spans="16:19" x14ac:dyDescent="0.25">
      <c r="P66" s="5" t="s">
        <v>474</v>
      </c>
      <c r="Q66" s="2">
        <v>294</v>
      </c>
      <c r="R66" s="2">
        <v>138</v>
      </c>
      <c r="S66">
        <v>1</v>
      </c>
    </row>
    <row r="67" spans="16:19" x14ac:dyDescent="0.25">
      <c r="P67" s="5" t="s">
        <v>246</v>
      </c>
      <c r="Q67" s="2">
        <v>1570</v>
      </c>
      <c r="R67" s="2">
        <v>-223</v>
      </c>
      <c r="S67">
        <v>4</v>
      </c>
    </row>
    <row r="68" spans="16:19" x14ac:dyDescent="0.25">
      <c r="P68" s="5" t="s">
        <v>425</v>
      </c>
      <c r="Q68" s="2">
        <v>166</v>
      </c>
      <c r="R68" s="2">
        <v>-113</v>
      </c>
      <c r="S68">
        <v>1</v>
      </c>
    </row>
    <row r="69" spans="16:19" x14ac:dyDescent="0.25">
      <c r="P69" s="5" t="s">
        <v>108</v>
      </c>
      <c r="Q69" s="2">
        <v>934</v>
      </c>
      <c r="R69" s="2">
        <v>-916</v>
      </c>
      <c r="S69">
        <v>1</v>
      </c>
    </row>
    <row r="70" spans="16:19" x14ac:dyDescent="0.25">
      <c r="P70" s="5" t="s">
        <v>100</v>
      </c>
      <c r="Q70" s="2">
        <v>1942</v>
      </c>
      <c r="R70" s="2">
        <v>245</v>
      </c>
      <c r="S70">
        <v>5</v>
      </c>
    </row>
    <row r="71" spans="16:19" x14ac:dyDescent="0.25">
      <c r="P71" s="5" t="s">
        <v>427</v>
      </c>
      <c r="Q71" s="2">
        <v>123</v>
      </c>
      <c r="R71" s="2">
        <v>17</v>
      </c>
      <c r="S71">
        <v>1</v>
      </c>
    </row>
    <row r="72" spans="16:19" x14ac:dyDescent="0.25">
      <c r="P72" s="5" t="s">
        <v>518</v>
      </c>
      <c r="Q72" s="2">
        <v>610</v>
      </c>
      <c r="R72" s="2">
        <v>-66</v>
      </c>
      <c r="S72">
        <v>1</v>
      </c>
    </row>
    <row r="73" spans="16:19" x14ac:dyDescent="0.25">
      <c r="P73" s="5" t="s">
        <v>155</v>
      </c>
      <c r="Q73" s="2">
        <v>768</v>
      </c>
      <c r="R73" s="2">
        <v>-4</v>
      </c>
      <c r="S73">
        <v>4</v>
      </c>
    </row>
    <row r="74" spans="16:19" x14ac:dyDescent="0.25">
      <c r="P74" s="5" t="s">
        <v>516</v>
      </c>
      <c r="Q74" s="2">
        <v>832</v>
      </c>
      <c r="R74" s="2">
        <v>0</v>
      </c>
      <c r="S74">
        <v>1</v>
      </c>
    </row>
    <row r="75" spans="16:19" x14ac:dyDescent="0.25">
      <c r="P75" s="5" t="s">
        <v>512</v>
      </c>
      <c r="Q75" s="2">
        <v>27</v>
      </c>
      <c r="R75" s="2">
        <v>-15</v>
      </c>
      <c r="S75">
        <v>1</v>
      </c>
    </row>
    <row r="76" spans="16:19" x14ac:dyDescent="0.25">
      <c r="P76" s="5" t="s">
        <v>221</v>
      </c>
      <c r="Q76" s="2">
        <v>418</v>
      </c>
      <c r="R76" s="2">
        <v>-149</v>
      </c>
      <c r="S76">
        <v>5</v>
      </c>
    </row>
    <row r="77" spans="16:19" x14ac:dyDescent="0.25">
      <c r="P77" s="5" t="s">
        <v>95</v>
      </c>
      <c r="Q77" s="2">
        <v>17</v>
      </c>
      <c r="R77" s="2">
        <v>-12</v>
      </c>
      <c r="S77">
        <v>1</v>
      </c>
    </row>
    <row r="78" spans="16:19" x14ac:dyDescent="0.25">
      <c r="P78" s="5" t="s">
        <v>109</v>
      </c>
      <c r="Q78" s="2">
        <v>929</v>
      </c>
      <c r="R78" s="2">
        <v>-93</v>
      </c>
      <c r="S78">
        <v>1</v>
      </c>
    </row>
    <row r="79" spans="16:19" x14ac:dyDescent="0.25">
      <c r="P79" s="5" t="s">
        <v>158</v>
      </c>
      <c r="Q79" s="2">
        <v>2390</v>
      </c>
      <c r="R79" s="2">
        <v>-304</v>
      </c>
      <c r="S79">
        <v>5</v>
      </c>
    </row>
    <row r="80" spans="16:19" x14ac:dyDescent="0.25">
      <c r="P80" s="5" t="s">
        <v>475</v>
      </c>
      <c r="Q80" s="2">
        <v>20</v>
      </c>
      <c r="R80" s="2">
        <v>-2</v>
      </c>
      <c r="S80">
        <v>1</v>
      </c>
    </row>
    <row r="81" spans="16:19" x14ac:dyDescent="0.25">
      <c r="P81" s="5" t="s">
        <v>215</v>
      </c>
      <c r="Q81" s="2">
        <v>425</v>
      </c>
      <c r="R81" s="2">
        <v>-74</v>
      </c>
      <c r="S81">
        <v>4</v>
      </c>
    </row>
    <row r="82" spans="16:19" x14ac:dyDescent="0.25">
      <c r="P82" s="5" t="s">
        <v>412</v>
      </c>
      <c r="Q82" s="2">
        <v>76</v>
      </c>
      <c r="R82" s="2">
        <v>-50</v>
      </c>
      <c r="S82">
        <v>1</v>
      </c>
    </row>
    <row r="83" spans="16:19" x14ac:dyDescent="0.25">
      <c r="P83" s="5" t="s">
        <v>313</v>
      </c>
      <c r="Q83" s="2">
        <v>73</v>
      </c>
      <c r="R83" s="2">
        <v>-25</v>
      </c>
      <c r="S83">
        <v>1</v>
      </c>
    </row>
    <row r="84" spans="16:19" x14ac:dyDescent="0.25">
      <c r="P84" s="5" t="s">
        <v>7</v>
      </c>
      <c r="Q84" s="2">
        <v>3599</v>
      </c>
      <c r="R84" s="2">
        <v>741</v>
      </c>
      <c r="S84">
        <v>6</v>
      </c>
    </row>
    <row r="85" spans="16:19" x14ac:dyDescent="0.25">
      <c r="P85" s="5" t="s">
        <v>175</v>
      </c>
      <c r="Q85" s="2">
        <v>545</v>
      </c>
      <c r="R85" s="2">
        <v>-73</v>
      </c>
      <c r="S85">
        <v>1</v>
      </c>
    </row>
    <row r="86" spans="16:19" x14ac:dyDescent="0.25">
      <c r="P86" s="5" t="s">
        <v>400</v>
      </c>
      <c r="Q86" s="2">
        <v>1067</v>
      </c>
      <c r="R86" s="2">
        <v>76</v>
      </c>
      <c r="S86">
        <v>5</v>
      </c>
    </row>
    <row r="87" spans="16:19" x14ac:dyDescent="0.25">
      <c r="P87" s="5" t="s">
        <v>352</v>
      </c>
      <c r="Q87" s="2">
        <v>134</v>
      </c>
      <c r="R87" s="2">
        <v>42</v>
      </c>
      <c r="S87">
        <v>1</v>
      </c>
    </row>
    <row r="88" spans="16:19" x14ac:dyDescent="0.25">
      <c r="P88" s="5" t="s">
        <v>461</v>
      </c>
      <c r="Q88" s="2">
        <v>889</v>
      </c>
      <c r="R88" s="2">
        <v>112</v>
      </c>
      <c r="S88">
        <v>4</v>
      </c>
    </row>
    <row r="89" spans="16:19" x14ac:dyDescent="0.25">
      <c r="P89" s="5" t="s">
        <v>53</v>
      </c>
      <c r="Q89" s="2">
        <v>2542</v>
      </c>
      <c r="R89" s="2">
        <v>434</v>
      </c>
      <c r="S89">
        <v>3</v>
      </c>
    </row>
    <row r="90" spans="16:19" x14ac:dyDescent="0.25">
      <c r="P90" s="5" t="s">
        <v>27</v>
      </c>
      <c r="Q90" s="2">
        <v>826</v>
      </c>
      <c r="R90" s="2">
        <v>-48</v>
      </c>
      <c r="S90">
        <v>5</v>
      </c>
    </row>
    <row r="91" spans="16:19" x14ac:dyDescent="0.25">
      <c r="P91" s="5" t="s">
        <v>287</v>
      </c>
      <c r="Q91" s="2">
        <v>352</v>
      </c>
      <c r="R91" s="2">
        <v>-345</v>
      </c>
      <c r="S91">
        <v>1</v>
      </c>
    </row>
    <row r="92" spans="16:19" x14ac:dyDescent="0.25">
      <c r="P92" s="5" t="s">
        <v>203</v>
      </c>
      <c r="Q92" s="2">
        <v>715</v>
      </c>
      <c r="R92" s="2">
        <v>-306</v>
      </c>
      <c r="S92">
        <v>3</v>
      </c>
    </row>
    <row r="93" spans="16:19" x14ac:dyDescent="0.25">
      <c r="P93" s="5" t="s">
        <v>496</v>
      </c>
      <c r="Q93" s="2">
        <v>31</v>
      </c>
      <c r="R93" s="2">
        <v>-10</v>
      </c>
      <c r="S93">
        <v>1</v>
      </c>
    </row>
    <row r="94" spans="16:19" x14ac:dyDescent="0.25">
      <c r="P94" s="5" t="s">
        <v>150</v>
      </c>
      <c r="Q94" s="2">
        <v>806</v>
      </c>
      <c r="R94" s="2">
        <v>22</v>
      </c>
      <c r="S94">
        <v>3</v>
      </c>
    </row>
    <row r="95" spans="16:19" x14ac:dyDescent="0.25">
      <c r="P95" s="5" t="s">
        <v>493</v>
      </c>
      <c r="Q95" s="2">
        <v>141</v>
      </c>
      <c r="R95" s="2">
        <v>28</v>
      </c>
      <c r="S95">
        <v>1</v>
      </c>
    </row>
    <row r="96" spans="16:19" x14ac:dyDescent="0.25">
      <c r="P96" s="5" t="s">
        <v>112</v>
      </c>
      <c r="Q96" s="2">
        <v>975</v>
      </c>
      <c r="R96" s="2">
        <v>97</v>
      </c>
      <c r="S96">
        <v>7</v>
      </c>
    </row>
    <row r="97" spans="16:19" x14ac:dyDescent="0.25">
      <c r="P97" s="5" t="s">
        <v>426</v>
      </c>
      <c r="Q97" s="2">
        <v>167</v>
      </c>
      <c r="R97" s="2">
        <v>43</v>
      </c>
      <c r="S97">
        <v>1</v>
      </c>
    </row>
    <row r="98" spans="16:19" x14ac:dyDescent="0.25">
      <c r="P98" s="5" t="s">
        <v>432</v>
      </c>
      <c r="Q98" s="2">
        <v>171</v>
      </c>
      <c r="R98" s="2">
        <v>14</v>
      </c>
      <c r="S98">
        <v>1</v>
      </c>
    </row>
    <row r="99" spans="16:19" x14ac:dyDescent="0.25">
      <c r="P99" s="5" t="s">
        <v>25</v>
      </c>
      <c r="Q99" s="2">
        <v>1607</v>
      </c>
      <c r="R99" s="2">
        <v>-115</v>
      </c>
      <c r="S99">
        <v>6</v>
      </c>
    </row>
    <row r="100" spans="16:19" x14ac:dyDescent="0.25">
      <c r="P100" s="5" t="s">
        <v>99</v>
      </c>
      <c r="Q100" s="2">
        <v>1995</v>
      </c>
      <c r="R100" s="2">
        <v>94</v>
      </c>
      <c r="S100">
        <v>7</v>
      </c>
    </row>
    <row r="101" spans="16:19" x14ac:dyDescent="0.25">
      <c r="P101" s="5" t="s">
        <v>182</v>
      </c>
      <c r="Q101" s="2">
        <v>909</v>
      </c>
      <c r="R101" s="2">
        <v>438</v>
      </c>
      <c r="S101">
        <v>6</v>
      </c>
    </row>
    <row r="102" spans="16:19" x14ac:dyDescent="0.25">
      <c r="P102" s="5" t="s">
        <v>279</v>
      </c>
      <c r="Q102" s="2">
        <v>124</v>
      </c>
      <c r="R102" s="2">
        <v>-71</v>
      </c>
      <c r="S102">
        <v>4</v>
      </c>
    </row>
    <row r="103" spans="16:19" x14ac:dyDescent="0.25">
      <c r="P103" s="5" t="s">
        <v>268</v>
      </c>
      <c r="Q103" s="2">
        <v>180</v>
      </c>
      <c r="R103" s="2">
        <v>-110</v>
      </c>
      <c r="S103">
        <v>3</v>
      </c>
    </row>
    <row r="104" spans="16:19" x14ac:dyDescent="0.25">
      <c r="P104" s="5" t="s">
        <v>210</v>
      </c>
      <c r="Q104" s="2">
        <v>174</v>
      </c>
      <c r="R104" s="2">
        <v>-94</v>
      </c>
      <c r="S104">
        <v>4</v>
      </c>
    </row>
    <row r="105" spans="16:19" x14ac:dyDescent="0.25">
      <c r="P105" s="5" t="s">
        <v>469</v>
      </c>
      <c r="Q105" s="2">
        <v>1777</v>
      </c>
      <c r="R105" s="2">
        <v>36</v>
      </c>
      <c r="S105">
        <v>5</v>
      </c>
    </row>
    <row r="106" spans="16:19" x14ac:dyDescent="0.25">
      <c r="P106" s="5" t="s">
        <v>33</v>
      </c>
      <c r="Q106" s="2">
        <v>674</v>
      </c>
      <c r="R106" s="2">
        <v>-67</v>
      </c>
      <c r="S106">
        <v>8</v>
      </c>
    </row>
    <row r="107" spans="16:19" x14ac:dyDescent="0.25">
      <c r="P107" s="5" t="s">
        <v>120</v>
      </c>
      <c r="Q107" s="2">
        <v>228</v>
      </c>
      <c r="R107" s="2">
        <v>-63</v>
      </c>
      <c r="S107">
        <v>2</v>
      </c>
    </row>
    <row r="108" spans="16:19" x14ac:dyDescent="0.25">
      <c r="P108" s="5" t="s">
        <v>482</v>
      </c>
      <c r="Q108" s="2">
        <v>46</v>
      </c>
      <c r="R108" s="2">
        <v>0</v>
      </c>
      <c r="S108">
        <v>1</v>
      </c>
    </row>
    <row r="109" spans="16:19" x14ac:dyDescent="0.25">
      <c r="P109" s="5" t="s">
        <v>435</v>
      </c>
      <c r="Q109" s="2">
        <v>31</v>
      </c>
      <c r="R109" s="2">
        <v>-11</v>
      </c>
      <c r="S109">
        <v>1</v>
      </c>
    </row>
    <row r="110" spans="16:19" x14ac:dyDescent="0.25">
      <c r="P110" s="5" t="s">
        <v>531</v>
      </c>
      <c r="Q110" s="2">
        <v>8</v>
      </c>
      <c r="R110" s="2">
        <v>-6</v>
      </c>
      <c r="S110">
        <v>1</v>
      </c>
    </row>
    <row r="111" spans="16:19" x14ac:dyDescent="0.25">
      <c r="P111" s="5" t="s">
        <v>152</v>
      </c>
      <c r="Q111" s="2">
        <v>1013</v>
      </c>
      <c r="R111" s="2">
        <v>-146</v>
      </c>
      <c r="S111">
        <v>4</v>
      </c>
    </row>
    <row r="112" spans="16:19" x14ac:dyDescent="0.25">
      <c r="P112" s="5" t="s">
        <v>351</v>
      </c>
      <c r="Q112" s="2">
        <v>74</v>
      </c>
      <c r="R112" s="2">
        <v>-18</v>
      </c>
      <c r="S112">
        <v>2</v>
      </c>
    </row>
    <row r="113" spans="16:19" x14ac:dyDescent="0.25">
      <c r="P113" s="5" t="s">
        <v>62</v>
      </c>
      <c r="Q113" s="2">
        <v>933</v>
      </c>
      <c r="R113" s="2">
        <v>-134</v>
      </c>
      <c r="S113">
        <v>6</v>
      </c>
    </row>
    <row r="114" spans="16:19" x14ac:dyDescent="0.25">
      <c r="P114" s="5" t="s">
        <v>381</v>
      </c>
      <c r="Q114" s="2">
        <v>100</v>
      </c>
      <c r="R114" s="2">
        <v>-58</v>
      </c>
      <c r="S114">
        <v>1</v>
      </c>
    </row>
    <row r="115" spans="16:19" x14ac:dyDescent="0.25">
      <c r="P115" s="5" t="s">
        <v>343</v>
      </c>
      <c r="Q115" s="2">
        <v>193</v>
      </c>
      <c r="R115" s="2">
        <v>-275</v>
      </c>
      <c r="S115">
        <v>1</v>
      </c>
    </row>
    <row r="116" spans="16:19" x14ac:dyDescent="0.25">
      <c r="P116" s="5" t="s">
        <v>430</v>
      </c>
      <c r="Q116" s="2">
        <v>158</v>
      </c>
      <c r="R116" s="2">
        <v>-63</v>
      </c>
      <c r="S116">
        <v>1</v>
      </c>
    </row>
    <row r="117" spans="16:19" x14ac:dyDescent="0.25">
      <c r="P117" s="5" t="s">
        <v>85</v>
      </c>
      <c r="Q117" s="2">
        <v>351</v>
      </c>
      <c r="R117" s="2">
        <v>15</v>
      </c>
      <c r="S117">
        <v>2</v>
      </c>
    </row>
    <row r="118" spans="16:19" x14ac:dyDescent="0.25">
      <c r="P118" s="5" t="s">
        <v>487</v>
      </c>
      <c r="Q118" s="2">
        <v>416</v>
      </c>
      <c r="R118" s="2">
        <v>137</v>
      </c>
      <c r="S118">
        <v>1</v>
      </c>
    </row>
    <row r="119" spans="16:19" x14ac:dyDescent="0.25">
      <c r="P119" s="5" t="s">
        <v>417</v>
      </c>
      <c r="Q119" s="2">
        <v>58</v>
      </c>
      <c r="R119" s="2">
        <v>0</v>
      </c>
      <c r="S119">
        <v>1</v>
      </c>
    </row>
    <row r="120" spans="16:19" x14ac:dyDescent="0.25">
      <c r="P120" s="5" t="s">
        <v>227</v>
      </c>
      <c r="Q120" s="2">
        <v>844</v>
      </c>
      <c r="R120" s="2">
        <v>193</v>
      </c>
      <c r="S120">
        <v>4</v>
      </c>
    </row>
    <row r="121" spans="16:19" x14ac:dyDescent="0.25">
      <c r="P121" s="5" t="s">
        <v>486</v>
      </c>
      <c r="Q121" s="2">
        <v>831</v>
      </c>
      <c r="R121" s="2">
        <v>146</v>
      </c>
      <c r="S121">
        <v>2</v>
      </c>
    </row>
    <row r="122" spans="16:19" x14ac:dyDescent="0.25">
      <c r="P122" s="5" t="s">
        <v>356</v>
      </c>
      <c r="Q122" s="2">
        <v>29</v>
      </c>
      <c r="R122" s="2">
        <v>10</v>
      </c>
      <c r="S122">
        <v>1</v>
      </c>
    </row>
    <row r="123" spans="16:19" x14ac:dyDescent="0.25">
      <c r="P123" s="5" t="s">
        <v>206</v>
      </c>
      <c r="Q123" s="2">
        <v>30</v>
      </c>
      <c r="R123" s="2">
        <v>-35</v>
      </c>
      <c r="S123">
        <v>1</v>
      </c>
    </row>
    <row r="124" spans="16:19" x14ac:dyDescent="0.25">
      <c r="P124" s="5" t="s">
        <v>340</v>
      </c>
      <c r="Q124" s="2">
        <v>369</v>
      </c>
      <c r="R124" s="2">
        <v>-7</v>
      </c>
      <c r="S124">
        <v>3</v>
      </c>
    </row>
    <row r="125" spans="16:19" x14ac:dyDescent="0.25">
      <c r="P125" s="5" t="s">
        <v>465</v>
      </c>
      <c r="Q125" s="2">
        <v>48</v>
      </c>
      <c r="R125" s="2">
        <v>-8</v>
      </c>
      <c r="S125">
        <v>1</v>
      </c>
    </row>
    <row r="126" spans="16:19" x14ac:dyDescent="0.25">
      <c r="P126" s="5" t="s">
        <v>66</v>
      </c>
      <c r="Q126" s="2">
        <v>130</v>
      </c>
      <c r="R126" s="2">
        <v>-97</v>
      </c>
      <c r="S126">
        <v>4</v>
      </c>
    </row>
    <row r="127" spans="16:19" x14ac:dyDescent="0.25">
      <c r="P127" s="5" t="s">
        <v>325</v>
      </c>
      <c r="Q127" s="2">
        <v>168</v>
      </c>
      <c r="R127" s="2">
        <v>-51</v>
      </c>
      <c r="S127">
        <v>1</v>
      </c>
    </row>
    <row r="128" spans="16:19" x14ac:dyDescent="0.25">
      <c r="P128" s="5" t="s">
        <v>418</v>
      </c>
      <c r="Q128" s="2">
        <v>193</v>
      </c>
      <c r="R128" s="2">
        <v>-17</v>
      </c>
      <c r="S128">
        <v>3</v>
      </c>
    </row>
    <row r="129" spans="16:19" x14ac:dyDescent="0.25">
      <c r="P129" s="5" t="s">
        <v>497</v>
      </c>
      <c r="Q129" s="2">
        <v>490</v>
      </c>
      <c r="R129" s="2">
        <v>-128</v>
      </c>
      <c r="S129">
        <v>1</v>
      </c>
    </row>
    <row r="130" spans="16:19" x14ac:dyDescent="0.25">
      <c r="P130" s="5" t="s">
        <v>240</v>
      </c>
      <c r="Q130" s="2">
        <v>384</v>
      </c>
      <c r="R130" s="2">
        <v>66</v>
      </c>
      <c r="S130">
        <v>2</v>
      </c>
    </row>
    <row r="131" spans="16:19" x14ac:dyDescent="0.25">
      <c r="P131" s="5" t="s">
        <v>103</v>
      </c>
      <c r="Q131" s="2">
        <v>2148</v>
      </c>
      <c r="R131" s="2">
        <v>-273</v>
      </c>
      <c r="S131">
        <v>3</v>
      </c>
    </row>
    <row r="132" spans="16:19" x14ac:dyDescent="0.25">
      <c r="P132" s="5" t="s">
        <v>76</v>
      </c>
      <c r="Q132" s="2">
        <v>1549</v>
      </c>
      <c r="R132" s="2">
        <v>-439</v>
      </c>
      <c r="S132">
        <v>1</v>
      </c>
    </row>
    <row r="133" spans="16:19" x14ac:dyDescent="0.25">
      <c r="P133" s="5" t="s">
        <v>121</v>
      </c>
      <c r="Q133" s="2">
        <v>2002</v>
      </c>
      <c r="R133" s="2">
        <v>-685</v>
      </c>
      <c r="S133">
        <v>6</v>
      </c>
    </row>
    <row r="134" spans="16:19" x14ac:dyDescent="0.25">
      <c r="P134" s="5" t="s">
        <v>355</v>
      </c>
      <c r="Q134" s="2">
        <v>131</v>
      </c>
      <c r="R134" s="2">
        <v>-154</v>
      </c>
      <c r="S134">
        <v>1</v>
      </c>
    </row>
    <row r="135" spans="16:19" x14ac:dyDescent="0.25">
      <c r="P135" s="5" t="s">
        <v>421</v>
      </c>
      <c r="Q135" s="2">
        <v>16</v>
      </c>
      <c r="R135" s="2">
        <v>-5</v>
      </c>
      <c r="S135">
        <v>1</v>
      </c>
    </row>
    <row r="136" spans="16:19" x14ac:dyDescent="0.25">
      <c r="P136" s="5" t="s">
        <v>266</v>
      </c>
      <c r="Q136" s="2">
        <v>96</v>
      </c>
      <c r="R136" s="2">
        <v>-59</v>
      </c>
      <c r="S136">
        <v>3</v>
      </c>
    </row>
    <row r="137" spans="16:19" x14ac:dyDescent="0.25">
      <c r="P137" s="5" t="s">
        <v>380</v>
      </c>
      <c r="Q137" s="2">
        <v>108</v>
      </c>
      <c r="R137" s="2">
        <v>-19</v>
      </c>
      <c r="S137">
        <v>1</v>
      </c>
    </row>
    <row r="138" spans="16:19" x14ac:dyDescent="0.25">
      <c r="P138" s="5" t="s">
        <v>42</v>
      </c>
      <c r="Q138" s="2">
        <v>34</v>
      </c>
      <c r="R138" s="2">
        <v>-10</v>
      </c>
      <c r="S138">
        <v>3</v>
      </c>
    </row>
    <row r="139" spans="16:19" x14ac:dyDescent="0.25">
      <c r="P139" s="5" t="s">
        <v>367</v>
      </c>
      <c r="Q139" s="2">
        <v>31</v>
      </c>
      <c r="R139" s="2">
        <v>-7</v>
      </c>
      <c r="S139">
        <v>1</v>
      </c>
    </row>
    <row r="140" spans="16:19" x14ac:dyDescent="0.25">
      <c r="P140" s="5" t="s">
        <v>314</v>
      </c>
      <c r="Q140" s="2">
        <v>187</v>
      </c>
      <c r="R140" s="2">
        <v>-15</v>
      </c>
      <c r="S140">
        <v>1</v>
      </c>
    </row>
    <row r="141" spans="16:19" x14ac:dyDescent="0.25">
      <c r="P141" s="5" t="s">
        <v>344</v>
      </c>
      <c r="Q141" s="2">
        <v>1359</v>
      </c>
      <c r="R141" s="2">
        <v>-111</v>
      </c>
      <c r="S141">
        <v>4</v>
      </c>
    </row>
    <row r="142" spans="16:19" x14ac:dyDescent="0.25">
      <c r="P142" s="5" t="s">
        <v>353</v>
      </c>
      <c r="Q142" s="2">
        <v>133</v>
      </c>
      <c r="R142" s="2">
        <v>-56</v>
      </c>
      <c r="S142">
        <v>1</v>
      </c>
    </row>
    <row r="143" spans="16:19" x14ac:dyDescent="0.25">
      <c r="P143" s="5" t="s">
        <v>438</v>
      </c>
      <c r="Q143" s="2">
        <v>105</v>
      </c>
      <c r="R143" s="2">
        <v>-45</v>
      </c>
      <c r="S143">
        <v>3</v>
      </c>
    </row>
    <row r="144" spans="16:19" x14ac:dyDescent="0.25">
      <c r="P144" s="5" t="s">
        <v>242</v>
      </c>
      <c r="Q144" s="2">
        <v>482</v>
      </c>
      <c r="R144" s="2">
        <v>-6</v>
      </c>
      <c r="S144">
        <v>1</v>
      </c>
    </row>
    <row r="145" spans="16:19" x14ac:dyDescent="0.25">
      <c r="P145" s="5" t="s">
        <v>368</v>
      </c>
      <c r="Q145" s="2">
        <v>11</v>
      </c>
      <c r="R145" s="2">
        <v>-8</v>
      </c>
      <c r="S145">
        <v>1</v>
      </c>
    </row>
    <row r="146" spans="16:19" x14ac:dyDescent="0.25">
      <c r="P146" s="5" t="s">
        <v>224</v>
      </c>
      <c r="Q146" s="2">
        <v>875</v>
      </c>
      <c r="R146" s="2">
        <v>-236</v>
      </c>
      <c r="S146">
        <v>5</v>
      </c>
    </row>
    <row r="147" spans="16:19" x14ac:dyDescent="0.25">
      <c r="P147" s="5" t="s">
        <v>47</v>
      </c>
      <c r="Q147" s="2">
        <v>373</v>
      </c>
      <c r="R147" s="2">
        <v>254</v>
      </c>
      <c r="S147">
        <v>1</v>
      </c>
    </row>
    <row r="148" spans="16:19" x14ac:dyDescent="0.25">
      <c r="P148" s="5" t="s">
        <v>252</v>
      </c>
      <c r="Q148" s="2">
        <v>1142</v>
      </c>
      <c r="R148" s="2">
        <v>153</v>
      </c>
      <c r="S148">
        <v>4</v>
      </c>
    </row>
    <row r="149" spans="16:19" x14ac:dyDescent="0.25">
      <c r="P149" s="5" t="s">
        <v>466</v>
      </c>
      <c r="Q149" s="2">
        <v>87</v>
      </c>
      <c r="R149" s="2">
        <v>16</v>
      </c>
      <c r="S149">
        <v>1</v>
      </c>
    </row>
    <row r="150" spans="16:19" x14ac:dyDescent="0.25">
      <c r="P150" s="5" t="s">
        <v>148</v>
      </c>
      <c r="Q150" s="2">
        <v>877</v>
      </c>
      <c r="R150" s="2">
        <v>395</v>
      </c>
      <c r="S150">
        <v>1</v>
      </c>
    </row>
    <row r="151" spans="16:19" x14ac:dyDescent="0.25">
      <c r="P151" s="5" t="s">
        <v>326</v>
      </c>
      <c r="Q151" s="2">
        <v>420</v>
      </c>
      <c r="R151" s="2">
        <v>46</v>
      </c>
      <c r="S151">
        <v>4</v>
      </c>
    </row>
    <row r="152" spans="16:19" x14ac:dyDescent="0.25">
      <c r="P152" s="5" t="s">
        <v>176</v>
      </c>
      <c r="Q152" s="2">
        <v>1052</v>
      </c>
      <c r="R152" s="2">
        <v>-82</v>
      </c>
      <c r="S152">
        <v>1</v>
      </c>
    </row>
    <row r="153" spans="16:19" x14ac:dyDescent="0.25">
      <c r="P153" s="5" t="s">
        <v>141</v>
      </c>
      <c r="Q153" s="2">
        <v>1392</v>
      </c>
      <c r="R153" s="2">
        <v>-278</v>
      </c>
      <c r="S153">
        <v>9</v>
      </c>
    </row>
    <row r="154" spans="16:19" x14ac:dyDescent="0.25">
      <c r="P154" s="5" t="s">
        <v>262</v>
      </c>
      <c r="Q154" s="2">
        <v>1136</v>
      </c>
      <c r="R154" s="2">
        <v>-58</v>
      </c>
      <c r="S154">
        <v>10</v>
      </c>
    </row>
    <row r="155" spans="16:19" x14ac:dyDescent="0.25">
      <c r="P155" s="5" t="s">
        <v>127</v>
      </c>
      <c r="Q155" s="2">
        <v>3065</v>
      </c>
      <c r="R155" s="2">
        <v>241</v>
      </c>
      <c r="S155">
        <v>7</v>
      </c>
    </row>
    <row r="156" spans="16:19" x14ac:dyDescent="0.25">
      <c r="P156" s="5" t="s">
        <v>288</v>
      </c>
      <c r="Q156" s="2">
        <v>1500</v>
      </c>
      <c r="R156" s="2">
        <v>-235</v>
      </c>
      <c r="S156">
        <v>9</v>
      </c>
    </row>
    <row r="157" spans="16:19" x14ac:dyDescent="0.25">
      <c r="P157" s="5" t="s">
        <v>54</v>
      </c>
      <c r="Q157" s="2">
        <v>845</v>
      </c>
      <c r="R157" s="2">
        <v>378</v>
      </c>
      <c r="S157">
        <v>8</v>
      </c>
    </row>
    <row r="158" spans="16:19" x14ac:dyDescent="0.25">
      <c r="P158" s="5" t="s">
        <v>67</v>
      </c>
      <c r="Q158" s="2">
        <v>3204</v>
      </c>
      <c r="R158" s="2">
        <v>984</v>
      </c>
      <c r="S158">
        <v>9</v>
      </c>
    </row>
    <row r="159" spans="16:19" x14ac:dyDescent="0.25">
      <c r="P159" s="5" t="s">
        <v>36</v>
      </c>
      <c r="Q159" s="2">
        <v>2070</v>
      </c>
      <c r="R159" s="2">
        <v>-318</v>
      </c>
      <c r="S159">
        <v>5</v>
      </c>
    </row>
    <row r="160" spans="16:19" x14ac:dyDescent="0.25">
      <c r="P160" s="5" t="s">
        <v>104</v>
      </c>
      <c r="Q160" s="2">
        <v>3912</v>
      </c>
      <c r="R160" s="2">
        <v>55</v>
      </c>
      <c r="S160">
        <v>11</v>
      </c>
    </row>
    <row r="161" spans="16:19" x14ac:dyDescent="0.25">
      <c r="P161" s="5" t="s">
        <v>530</v>
      </c>
      <c r="Q161" s="2">
        <v>8</v>
      </c>
      <c r="R161" s="2">
        <v>-2</v>
      </c>
      <c r="S161">
        <v>1</v>
      </c>
    </row>
    <row r="162" spans="16:19" x14ac:dyDescent="0.25">
      <c r="P162" s="5" t="s">
        <v>147</v>
      </c>
      <c r="Q162" s="2">
        <v>20</v>
      </c>
      <c r="R162" s="2">
        <v>-9</v>
      </c>
      <c r="S162">
        <v>1</v>
      </c>
    </row>
    <row r="163" spans="16:19" x14ac:dyDescent="0.25">
      <c r="P163" s="5" t="s">
        <v>90</v>
      </c>
      <c r="Q163" s="2">
        <v>322</v>
      </c>
      <c r="R163" s="2">
        <v>-193</v>
      </c>
      <c r="S163">
        <v>1</v>
      </c>
    </row>
    <row r="164" spans="16:19" x14ac:dyDescent="0.25">
      <c r="P164" s="5" t="s">
        <v>37</v>
      </c>
      <c r="Q164" s="2">
        <v>3339</v>
      </c>
      <c r="R164" s="2">
        <v>984</v>
      </c>
      <c r="S164">
        <v>6</v>
      </c>
    </row>
    <row r="165" spans="16:19" x14ac:dyDescent="0.25">
      <c r="P165" s="5" t="s">
        <v>91</v>
      </c>
      <c r="Q165" s="2">
        <v>1441</v>
      </c>
      <c r="R165" s="2">
        <v>526</v>
      </c>
      <c r="S165">
        <v>3</v>
      </c>
    </row>
    <row r="166" spans="16:19" x14ac:dyDescent="0.25">
      <c r="P166" s="5" t="s">
        <v>437</v>
      </c>
      <c r="Q166" s="2">
        <v>58</v>
      </c>
      <c r="R166" s="2">
        <v>-52</v>
      </c>
      <c r="S166">
        <v>1</v>
      </c>
    </row>
    <row r="167" spans="16:19" x14ac:dyDescent="0.25">
      <c r="P167" s="5" t="s">
        <v>341</v>
      </c>
      <c r="Q167" s="2">
        <v>1259</v>
      </c>
      <c r="R167" s="2">
        <v>-134</v>
      </c>
      <c r="S167">
        <v>4</v>
      </c>
    </row>
    <row r="168" spans="16:19" x14ac:dyDescent="0.25">
      <c r="P168" s="5" t="s">
        <v>350</v>
      </c>
      <c r="Q168" s="2">
        <v>139</v>
      </c>
      <c r="R168" s="2">
        <v>14</v>
      </c>
      <c r="S168">
        <v>1</v>
      </c>
    </row>
    <row r="169" spans="16:19" x14ac:dyDescent="0.25">
      <c r="P169" s="5" t="s">
        <v>448</v>
      </c>
      <c r="Q169" s="2">
        <v>220</v>
      </c>
      <c r="R169" s="2">
        <v>-19</v>
      </c>
      <c r="S169">
        <v>1</v>
      </c>
    </row>
    <row r="170" spans="16:19" x14ac:dyDescent="0.25">
      <c r="P170" s="5" t="s">
        <v>284</v>
      </c>
      <c r="Q170" s="2">
        <v>459</v>
      </c>
      <c r="R170" s="2">
        <v>-121</v>
      </c>
      <c r="S170">
        <v>5</v>
      </c>
    </row>
    <row r="171" spans="16:19" x14ac:dyDescent="0.25">
      <c r="P171" s="5" t="s">
        <v>528</v>
      </c>
      <c r="Q171" s="2">
        <v>1582</v>
      </c>
      <c r="R171" s="2">
        <v>-443</v>
      </c>
      <c r="S171">
        <v>1</v>
      </c>
    </row>
    <row r="172" spans="16:19" x14ac:dyDescent="0.25">
      <c r="P172" s="5" t="s">
        <v>485</v>
      </c>
      <c r="Q172" s="2">
        <v>355</v>
      </c>
      <c r="R172" s="2">
        <v>-4</v>
      </c>
      <c r="S172">
        <v>1</v>
      </c>
    </row>
    <row r="173" spans="16:19" x14ac:dyDescent="0.25">
      <c r="P173" s="5" t="s">
        <v>249</v>
      </c>
      <c r="Q173" s="2">
        <v>1071</v>
      </c>
      <c r="R173" s="2">
        <v>48</v>
      </c>
      <c r="S173">
        <v>4</v>
      </c>
    </row>
    <row r="174" spans="16:19" x14ac:dyDescent="0.25">
      <c r="P174" s="5" t="s">
        <v>345</v>
      </c>
      <c r="Q174" s="2">
        <v>148</v>
      </c>
      <c r="R174" s="2">
        <v>59</v>
      </c>
      <c r="S174">
        <v>1</v>
      </c>
    </row>
    <row r="175" spans="16:19" x14ac:dyDescent="0.25">
      <c r="P175" s="5" t="s">
        <v>77</v>
      </c>
      <c r="Q175" s="2">
        <v>1183</v>
      </c>
      <c r="R175" s="2">
        <v>106</v>
      </c>
      <c r="S175">
        <v>1</v>
      </c>
    </row>
    <row r="176" spans="16:19" x14ac:dyDescent="0.25">
      <c r="P176" s="5" t="s">
        <v>289</v>
      </c>
      <c r="Q176" s="2">
        <v>1203</v>
      </c>
      <c r="R176" s="2">
        <v>-257</v>
      </c>
      <c r="S176">
        <v>5</v>
      </c>
    </row>
    <row r="177" spans="16:19" x14ac:dyDescent="0.25">
      <c r="P177" s="5" t="s">
        <v>373</v>
      </c>
      <c r="Q177" s="2">
        <v>38</v>
      </c>
      <c r="R177" s="2">
        <v>-6</v>
      </c>
      <c r="S177">
        <v>1</v>
      </c>
    </row>
    <row r="178" spans="16:19" x14ac:dyDescent="0.25">
      <c r="P178" s="5" t="s">
        <v>460</v>
      </c>
      <c r="Q178" s="2">
        <v>50</v>
      </c>
      <c r="R178" s="2">
        <v>-17</v>
      </c>
      <c r="S178">
        <v>1</v>
      </c>
    </row>
    <row r="179" spans="16:19" x14ac:dyDescent="0.25">
      <c r="P179" s="5" t="s">
        <v>280</v>
      </c>
      <c r="Q179" s="2">
        <v>47</v>
      </c>
      <c r="R179" s="2">
        <v>-20</v>
      </c>
      <c r="S179">
        <v>1</v>
      </c>
    </row>
    <row r="180" spans="16:19" x14ac:dyDescent="0.25">
      <c r="P180" s="5" t="s">
        <v>97</v>
      </c>
      <c r="Q180" s="2">
        <v>1382</v>
      </c>
      <c r="R180" s="2">
        <v>-159</v>
      </c>
      <c r="S180">
        <v>5</v>
      </c>
    </row>
    <row r="181" spans="16:19" x14ac:dyDescent="0.25">
      <c r="P181" s="5" t="s">
        <v>52</v>
      </c>
      <c r="Q181" s="2">
        <v>3272</v>
      </c>
      <c r="R181" s="2">
        <v>-553</v>
      </c>
      <c r="S181">
        <v>4</v>
      </c>
    </row>
    <row r="182" spans="16:19" x14ac:dyDescent="0.25">
      <c r="P182" s="5" t="s">
        <v>70</v>
      </c>
      <c r="Q182" s="2">
        <v>1361</v>
      </c>
      <c r="R182" s="2">
        <v>980</v>
      </c>
      <c r="S182">
        <v>1</v>
      </c>
    </row>
    <row r="183" spans="16:19" x14ac:dyDescent="0.25">
      <c r="P183" s="5" t="s">
        <v>405</v>
      </c>
      <c r="Q183" s="2">
        <v>137</v>
      </c>
      <c r="R183" s="2">
        <v>-41</v>
      </c>
      <c r="S183">
        <v>1</v>
      </c>
    </row>
    <row r="184" spans="16:19" x14ac:dyDescent="0.25">
      <c r="P184" s="5" t="s">
        <v>276</v>
      </c>
      <c r="Q184" s="2">
        <v>1511</v>
      </c>
      <c r="R184" s="2">
        <v>-900</v>
      </c>
      <c r="S184">
        <v>6</v>
      </c>
    </row>
    <row r="185" spans="16:19" x14ac:dyDescent="0.25">
      <c r="P185" s="5" t="s">
        <v>484</v>
      </c>
      <c r="Q185" s="2">
        <v>335</v>
      </c>
      <c r="R185" s="2">
        <v>-22</v>
      </c>
      <c r="S185">
        <v>1</v>
      </c>
    </row>
    <row r="186" spans="16:19" x14ac:dyDescent="0.25">
      <c r="P186" s="5" t="s">
        <v>388</v>
      </c>
      <c r="Q186" s="2">
        <v>135</v>
      </c>
      <c r="R186" s="2">
        <v>-42</v>
      </c>
      <c r="S186">
        <v>5</v>
      </c>
    </row>
    <row r="187" spans="16:19" x14ac:dyDescent="0.25">
      <c r="P187" s="5" t="s">
        <v>86</v>
      </c>
      <c r="Q187" s="2">
        <v>15</v>
      </c>
      <c r="R187" s="2">
        <v>4</v>
      </c>
      <c r="S187">
        <v>1</v>
      </c>
    </row>
    <row r="188" spans="16:19" x14ac:dyDescent="0.25">
      <c r="P188" s="5" t="s">
        <v>166</v>
      </c>
      <c r="Q188" s="2">
        <v>1100</v>
      </c>
      <c r="R188" s="2">
        <v>121</v>
      </c>
      <c r="S188">
        <v>4</v>
      </c>
    </row>
    <row r="189" spans="16:19" x14ac:dyDescent="0.25">
      <c r="P189" s="5" t="s">
        <v>39</v>
      </c>
      <c r="Q189" s="2">
        <v>2538</v>
      </c>
      <c r="R189" s="2">
        <v>196</v>
      </c>
      <c r="S189">
        <v>4</v>
      </c>
    </row>
    <row r="190" spans="16:19" x14ac:dyDescent="0.25">
      <c r="P190" s="5" t="s">
        <v>144</v>
      </c>
      <c r="Q190" s="2">
        <v>965</v>
      </c>
      <c r="R190" s="2">
        <v>-320</v>
      </c>
      <c r="S190">
        <v>4</v>
      </c>
    </row>
    <row r="191" spans="16:19" x14ac:dyDescent="0.25">
      <c r="P191" s="5" t="s">
        <v>68</v>
      </c>
      <c r="Q191" s="2">
        <v>12</v>
      </c>
      <c r="R191" s="2">
        <v>3</v>
      </c>
      <c r="S191">
        <v>1</v>
      </c>
    </row>
    <row r="192" spans="16:19" x14ac:dyDescent="0.25">
      <c r="P192" s="5" t="s">
        <v>420</v>
      </c>
      <c r="Q192" s="2">
        <v>410</v>
      </c>
      <c r="R192" s="2">
        <v>-99</v>
      </c>
      <c r="S192">
        <v>3</v>
      </c>
    </row>
    <row r="193" spans="16:19" x14ac:dyDescent="0.25">
      <c r="P193" s="5" t="s">
        <v>480</v>
      </c>
      <c r="Q193" s="2">
        <v>42</v>
      </c>
      <c r="R193" s="2">
        <v>-3</v>
      </c>
      <c r="S193">
        <v>1</v>
      </c>
    </row>
    <row r="194" spans="16:19" x14ac:dyDescent="0.25">
      <c r="P194" s="5" t="s">
        <v>222</v>
      </c>
      <c r="Q194" s="2">
        <v>993</v>
      </c>
      <c r="R194" s="2">
        <v>80</v>
      </c>
      <c r="S194">
        <v>3</v>
      </c>
    </row>
    <row r="195" spans="16:19" x14ac:dyDescent="0.25">
      <c r="P195" s="5" t="s">
        <v>413</v>
      </c>
      <c r="Q195" s="2">
        <v>74</v>
      </c>
      <c r="R195" s="2">
        <v>-25</v>
      </c>
      <c r="S195">
        <v>1</v>
      </c>
    </row>
    <row r="196" spans="16:19" x14ac:dyDescent="0.25">
      <c r="P196" s="5" t="s">
        <v>307</v>
      </c>
      <c r="Q196" s="2">
        <v>1864</v>
      </c>
      <c r="R196" s="2">
        <v>-212</v>
      </c>
      <c r="S196">
        <v>7</v>
      </c>
    </row>
    <row r="197" spans="16:19" x14ac:dyDescent="0.25">
      <c r="P197" s="5" t="s">
        <v>319</v>
      </c>
      <c r="Q197" s="2">
        <v>176</v>
      </c>
      <c r="R197" s="2">
        <v>37</v>
      </c>
      <c r="S197">
        <v>1</v>
      </c>
    </row>
    <row r="198" spans="16:19" x14ac:dyDescent="0.25">
      <c r="P198" s="5" t="s">
        <v>305</v>
      </c>
      <c r="Q198" s="2">
        <v>276</v>
      </c>
      <c r="R198" s="2">
        <v>-21</v>
      </c>
      <c r="S198">
        <v>1</v>
      </c>
    </row>
    <row r="199" spans="16:19" x14ac:dyDescent="0.25">
      <c r="P199" s="5" t="s">
        <v>163</v>
      </c>
      <c r="Q199" s="2">
        <v>1721</v>
      </c>
      <c r="R199" s="2">
        <v>-566</v>
      </c>
      <c r="S199">
        <v>7</v>
      </c>
    </row>
    <row r="200" spans="16:19" x14ac:dyDescent="0.25">
      <c r="P200" s="5" t="s">
        <v>64</v>
      </c>
      <c r="Q200" s="2">
        <v>3287</v>
      </c>
      <c r="R200" s="2">
        <v>677</v>
      </c>
      <c r="S200">
        <v>6</v>
      </c>
    </row>
    <row r="201" spans="16:19" x14ac:dyDescent="0.25">
      <c r="P201" s="5" t="s">
        <v>208</v>
      </c>
      <c r="Q201" s="2">
        <v>3803</v>
      </c>
      <c r="R201" s="2">
        <v>-1836</v>
      </c>
      <c r="S201">
        <v>6</v>
      </c>
    </row>
    <row r="202" spans="16:19" x14ac:dyDescent="0.25">
      <c r="P202" s="5" t="s">
        <v>272</v>
      </c>
      <c r="Q202" s="2">
        <v>367</v>
      </c>
      <c r="R202" s="2">
        <v>-225</v>
      </c>
      <c r="S202">
        <v>4</v>
      </c>
    </row>
    <row r="203" spans="16:19" x14ac:dyDescent="0.25">
      <c r="P203" s="5" t="s">
        <v>337</v>
      </c>
      <c r="Q203" s="2">
        <v>188</v>
      </c>
      <c r="R203" s="2">
        <v>-60</v>
      </c>
      <c r="S203">
        <v>3</v>
      </c>
    </row>
    <row r="204" spans="16:19" x14ac:dyDescent="0.25">
      <c r="P204" s="5" t="s">
        <v>80</v>
      </c>
      <c r="Q204" s="2">
        <v>149</v>
      </c>
      <c r="R204" s="2">
        <v>-37</v>
      </c>
      <c r="S204">
        <v>4</v>
      </c>
    </row>
    <row r="205" spans="16:19" x14ac:dyDescent="0.25">
      <c r="P205" s="5" t="s">
        <v>371</v>
      </c>
      <c r="Q205" s="2">
        <v>789</v>
      </c>
      <c r="R205" s="2">
        <v>-647</v>
      </c>
      <c r="S205">
        <v>5</v>
      </c>
    </row>
    <row r="206" spans="16:19" x14ac:dyDescent="0.25">
      <c r="P206" s="5" t="s">
        <v>172</v>
      </c>
      <c r="Q206" s="2">
        <v>3266</v>
      </c>
      <c r="R206" s="2">
        <v>820</v>
      </c>
      <c r="S206">
        <v>8</v>
      </c>
    </row>
    <row r="207" spans="16:19" x14ac:dyDescent="0.25">
      <c r="P207" s="5" t="s">
        <v>379</v>
      </c>
      <c r="Q207" s="2">
        <v>477</v>
      </c>
      <c r="R207" s="2">
        <v>62</v>
      </c>
      <c r="S207">
        <v>2</v>
      </c>
    </row>
    <row r="208" spans="16:19" x14ac:dyDescent="0.25">
      <c r="P208" s="5" t="s">
        <v>384</v>
      </c>
      <c r="Q208" s="2">
        <v>112</v>
      </c>
      <c r="R208" s="2">
        <v>15</v>
      </c>
      <c r="S208">
        <v>1</v>
      </c>
    </row>
    <row r="209" spans="16:19" x14ac:dyDescent="0.25">
      <c r="P209" s="5" t="s">
        <v>507</v>
      </c>
      <c r="Q209" s="2">
        <v>632</v>
      </c>
      <c r="R209" s="2">
        <v>-114</v>
      </c>
      <c r="S209">
        <v>1</v>
      </c>
    </row>
    <row r="210" spans="16:19" x14ac:dyDescent="0.25">
      <c r="P210" s="5" t="s">
        <v>523</v>
      </c>
      <c r="Q210" s="2">
        <v>16</v>
      </c>
      <c r="R210" s="2">
        <v>6</v>
      </c>
      <c r="S210">
        <v>1</v>
      </c>
    </row>
    <row r="211" spans="16:19" x14ac:dyDescent="0.25">
      <c r="P211" s="5" t="s">
        <v>145</v>
      </c>
      <c r="Q211" s="2">
        <v>478</v>
      </c>
      <c r="R211" s="2">
        <v>-109</v>
      </c>
      <c r="S211">
        <v>4</v>
      </c>
    </row>
    <row r="212" spans="16:19" x14ac:dyDescent="0.25">
      <c r="P212" s="5" t="s">
        <v>286</v>
      </c>
      <c r="Q212" s="2">
        <v>207</v>
      </c>
      <c r="R212" s="2">
        <v>78</v>
      </c>
      <c r="S212">
        <v>2</v>
      </c>
    </row>
    <row r="213" spans="16:19" x14ac:dyDescent="0.25">
      <c r="P213" s="5" t="s">
        <v>79</v>
      </c>
      <c r="Q213" s="2">
        <v>1619</v>
      </c>
      <c r="R213" s="2">
        <v>339</v>
      </c>
      <c r="S213">
        <v>6</v>
      </c>
    </row>
    <row r="214" spans="16:19" x14ac:dyDescent="0.25">
      <c r="P214" s="5" t="s">
        <v>471</v>
      </c>
      <c r="Q214" s="2">
        <v>126</v>
      </c>
      <c r="R214" s="2">
        <v>52</v>
      </c>
      <c r="S214">
        <v>1</v>
      </c>
    </row>
    <row r="215" spans="16:19" x14ac:dyDescent="0.25">
      <c r="P215" s="5" t="s">
        <v>467</v>
      </c>
      <c r="Q215" s="2">
        <v>259</v>
      </c>
      <c r="R215" s="2">
        <v>47</v>
      </c>
      <c r="S215">
        <v>1</v>
      </c>
    </row>
    <row r="216" spans="16:19" x14ac:dyDescent="0.25">
      <c r="P216" s="5" t="s">
        <v>521</v>
      </c>
      <c r="Q216" s="2">
        <v>911</v>
      </c>
      <c r="R216" s="2">
        <v>202</v>
      </c>
      <c r="S216">
        <v>1</v>
      </c>
    </row>
    <row r="217" spans="16:19" x14ac:dyDescent="0.25">
      <c r="P217" s="5" t="s">
        <v>392</v>
      </c>
      <c r="Q217" s="2">
        <v>580</v>
      </c>
      <c r="R217" s="2">
        <v>204</v>
      </c>
      <c r="S217">
        <v>2</v>
      </c>
    </row>
    <row r="218" spans="16:19" x14ac:dyDescent="0.25">
      <c r="P218" s="5" t="s">
        <v>501</v>
      </c>
      <c r="Q218" s="2">
        <v>35</v>
      </c>
      <c r="R218" s="2">
        <v>14</v>
      </c>
      <c r="S218">
        <v>1</v>
      </c>
    </row>
    <row r="219" spans="16:19" x14ac:dyDescent="0.25">
      <c r="P219" s="5" t="s">
        <v>56</v>
      </c>
      <c r="Q219" s="2">
        <v>391</v>
      </c>
      <c r="R219" s="2">
        <v>113</v>
      </c>
      <c r="S219">
        <v>1</v>
      </c>
    </row>
    <row r="220" spans="16:19" x14ac:dyDescent="0.25">
      <c r="P220" s="5" t="s">
        <v>514</v>
      </c>
      <c r="Q220" s="2">
        <v>743</v>
      </c>
      <c r="R220" s="2">
        <v>89</v>
      </c>
      <c r="S220">
        <v>1</v>
      </c>
    </row>
    <row r="221" spans="16:19" x14ac:dyDescent="0.25">
      <c r="P221" s="5" t="s">
        <v>198</v>
      </c>
      <c r="Q221" s="2">
        <v>265</v>
      </c>
      <c r="R221" s="2">
        <v>73</v>
      </c>
      <c r="S221">
        <v>5</v>
      </c>
    </row>
    <row r="222" spans="16:19" x14ac:dyDescent="0.25">
      <c r="P222" s="5" t="s">
        <v>213</v>
      </c>
      <c r="Q222" s="2">
        <v>417</v>
      </c>
      <c r="R222" s="2">
        <v>49</v>
      </c>
      <c r="S222">
        <v>1</v>
      </c>
    </row>
    <row r="223" spans="16:19" x14ac:dyDescent="0.25">
      <c r="P223" s="5" t="s">
        <v>390</v>
      </c>
      <c r="Q223" s="2">
        <v>119</v>
      </c>
      <c r="R223" s="2">
        <v>1</v>
      </c>
      <c r="S223">
        <v>1</v>
      </c>
    </row>
    <row r="224" spans="16:19" x14ac:dyDescent="0.25">
      <c r="P224" s="5" t="s">
        <v>139</v>
      </c>
      <c r="Q224" s="2">
        <v>202</v>
      </c>
      <c r="R224" s="2">
        <v>21</v>
      </c>
      <c r="S224">
        <v>3</v>
      </c>
    </row>
    <row r="225" spans="16:19" x14ac:dyDescent="0.25">
      <c r="P225" s="5" t="s">
        <v>491</v>
      </c>
      <c r="Q225" s="2">
        <v>34</v>
      </c>
      <c r="R225" s="2">
        <v>13</v>
      </c>
      <c r="S225">
        <v>1</v>
      </c>
    </row>
    <row r="226" spans="16:19" x14ac:dyDescent="0.25">
      <c r="P226" s="5" t="s">
        <v>310</v>
      </c>
      <c r="Q226" s="2">
        <v>2369</v>
      </c>
      <c r="R226" s="2">
        <v>380</v>
      </c>
      <c r="S226">
        <v>4</v>
      </c>
    </row>
    <row r="227" spans="16:19" x14ac:dyDescent="0.25">
      <c r="P227" s="5" t="s">
        <v>456</v>
      </c>
      <c r="Q227" s="2">
        <v>101</v>
      </c>
      <c r="R227" s="2">
        <v>38</v>
      </c>
      <c r="S227">
        <v>1</v>
      </c>
    </row>
    <row r="228" spans="16:19" x14ac:dyDescent="0.25">
      <c r="P228" s="5" t="s">
        <v>349</v>
      </c>
      <c r="Q228" s="2">
        <v>1166</v>
      </c>
      <c r="R228" s="2">
        <v>386</v>
      </c>
      <c r="S228">
        <v>3</v>
      </c>
    </row>
    <row r="229" spans="16:19" x14ac:dyDescent="0.25">
      <c r="P229" s="5" t="s">
        <v>508</v>
      </c>
      <c r="Q229" s="2">
        <v>637</v>
      </c>
      <c r="R229" s="2">
        <v>261</v>
      </c>
      <c r="S229">
        <v>1</v>
      </c>
    </row>
    <row r="230" spans="16:19" x14ac:dyDescent="0.25">
      <c r="P230" s="5" t="s">
        <v>429</v>
      </c>
      <c r="Q230" s="2">
        <v>156</v>
      </c>
      <c r="R230" s="2">
        <v>21</v>
      </c>
      <c r="S230">
        <v>1</v>
      </c>
    </row>
    <row r="231" spans="16:19" x14ac:dyDescent="0.25">
      <c r="P231" s="5" t="s">
        <v>180</v>
      </c>
      <c r="Q231" s="2">
        <v>902</v>
      </c>
      <c r="R231" s="2">
        <v>141</v>
      </c>
      <c r="S231">
        <v>4</v>
      </c>
    </row>
    <row r="232" spans="16:19" x14ac:dyDescent="0.25">
      <c r="P232" s="5" t="s">
        <v>481</v>
      </c>
      <c r="Q232" s="2">
        <v>345</v>
      </c>
      <c r="R232" s="2">
        <v>38</v>
      </c>
      <c r="S232">
        <v>1</v>
      </c>
    </row>
    <row r="233" spans="16:19" x14ac:dyDescent="0.25">
      <c r="P233" s="5" t="s">
        <v>50</v>
      </c>
      <c r="Q233" s="2">
        <v>3276</v>
      </c>
      <c r="R233" s="2">
        <v>873</v>
      </c>
      <c r="S233">
        <v>6</v>
      </c>
    </row>
    <row r="234" spans="16:19" x14ac:dyDescent="0.25">
      <c r="P234" s="5" t="s">
        <v>154</v>
      </c>
      <c r="Q234" s="2">
        <v>693</v>
      </c>
      <c r="R234" s="2">
        <v>254</v>
      </c>
      <c r="S234">
        <v>1</v>
      </c>
    </row>
    <row r="235" spans="16:19" x14ac:dyDescent="0.25">
      <c r="P235" s="5" t="s">
        <v>183</v>
      </c>
      <c r="Q235" s="2">
        <v>504</v>
      </c>
      <c r="R235" s="2">
        <v>116</v>
      </c>
      <c r="S235">
        <v>1</v>
      </c>
    </row>
    <row r="236" spans="16:19" x14ac:dyDescent="0.25">
      <c r="P236" s="5" t="s">
        <v>424</v>
      </c>
      <c r="Q236" s="2">
        <v>145</v>
      </c>
      <c r="R236" s="2">
        <v>47</v>
      </c>
      <c r="S236">
        <v>3</v>
      </c>
    </row>
    <row r="237" spans="16:19" x14ac:dyDescent="0.25">
      <c r="P237" s="5" t="s">
        <v>372</v>
      </c>
      <c r="Q237" s="2">
        <v>16</v>
      </c>
      <c r="R237" s="2">
        <v>5</v>
      </c>
      <c r="S237">
        <v>1</v>
      </c>
    </row>
    <row r="238" spans="16:19" x14ac:dyDescent="0.25">
      <c r="P238" s="5" t="s">
        <v>199</v>
      </c>
      <c r="Q238" s="2">
        <v>234</v>
      </c>
      <c r="R238" s="2">
        <v>39</v>
      </c>
      <c r="S238">
        <v>3</v>
      </c>
    </row>
    <row r="239" spans="16:19" x14ac:dyDescent="0.25">
      <c r="P239" s="5" t="s">
        <v>101</v>
      </c>
      <c r="Q239" s="2">
        <v>1298</v>
      </c>
      <c r="R239" s="2">
        <v>65</v>
      </c>
      <c r="S239">
        <v>1</v>
      </c>
    </row>
    <row r="240" spans="16:19" x14ac:dyDescent="0.25">
      <c r="P240" s="5" t="s">
        <v>201</v>
      </c>
      <c r="Q240" s="2">
        <v>263</v>
      </c>
      <c r="R240" s="2">
        <v>50</v>
      </c>
      <c r="S240">
        <v>1</v>
      </c>
    </row>
    <row r="241" spans="16:19" x14ac:dyDescent="0.25">
      <c r="P241" s="5" t="s">
        <v>330</v>
      </c>
      <c r="Q241" s="2">
        <v>1267</v>
      </c>
      <c r="R241" s="2">
        <v>390</v>
      </c>
      <c r="S241">
        <v>4</v>
      </c>
    </row>
    <row r="242" spans="16:19" x14ac:dyDescent="0.25">
      <c r="P242" s="5" t="s">
        <v>118</v>
      </c>
      <c r="Q242" s="2">
        <v>1250</v>
      </c>
      <c r="R242" s="2">
        <v>486</v>
      </c>
      <c r="S242">
        <v>1</v>
      </c>
    </row>
    <row r="243" spans="16:19" x14ac:dyDescent="0.25">
      <c r="P243" s="5" t="s">
        <v>250</v>
      </c>
      <c r="Q243" s="2">
        <v>806</v>
      </c>
      <c r="R243" s="2">
        <v>199</v>
      </c>
      <c r="S243">
        <v>3</v>
      </c>
    </row>
    <row r="244" spans="16:19" x14ac:dyDescent="0.25">
      <c r="P244" s="5" t="s">
        <v>519</v>
      </c>
      <c r="Q244" s="2">
        <v>22</v>
      </c>
      <c r="R244" s="2">
        <v>11</v>
      </c>
      <c r="S244">
        <v>1</v>
      </c>
    </row>
    <row r="245" spans="16:19" x14ac:dyDescent="0.25">
      <c r="P245" s="5" t="s">
        <v>51</v>
      </c>
      <c r="Q245" s="2">
        <v>1543</v>
      </c>
      <c r="R245" s="2">
        <v>370</v>
      </c>
      <c r="S245">
        <v>1</v>
      </c>
    </row>
    <row r="246" spans="16:19" x14ac:dyDescent="0.25">
      <c r="P246" s="5" t="s">
        <v>241</v>
      </c>
      <c r="Q246" s="2">
        <v>582</v>
      </c>
      <c r="R246" s="2">
        <v>117</v>
      </c>
      <c r="S246">
        <v>5</v>
      </c>
    </row>
    <row r="247" spans="16:19" x14ac:dyDescent="0.25">
      <c r="P247" s="5" t="s">
        <v>347</v>
      </c>
      <c r="Q247" s="2">
        <v>86</v>
      </c>
      <c r="R247" s="2">
        <v>8</v>
      </c>
      <c r="S247">
        <v>1</v>
      </c>
    </row>
    <row r="248" spans="16:19" x14ac:dyDescent="0.25">
      <c r="P248" s="5" t="s">
        <v>48</v>
      </c>
      <c r="Q248" s="2">
        <v>1245</v>
      </c>
      <c r="R248" s="2">
        <v>385</v>
      </c>
      <c r="S248">
        <v>4</v>
      </c>
    </row>
    <row r="249" spans="16:19" x14ac:dyDescent="0.25">
      <c r="P249" s="5" t="s">
        <v>251</v>
      </c>
      <c r="Q249" s="2">
        <v>94</v>
      </c>
      <c r="R249" s="2">
        <v>7</v>
      </c>
      <c r="S249">
        <v>1</v>
      </c>
    </row>
    <row r="250" spans="16:19" x14ac:dyDescent="0.25">
      <c r="P250" s="5" t="s">
        <v>162</v>
      </c>
      <c r="Q250" s="2">
        <v>907</v>
      </c>
      <c r="R250" s="2">
        <v>296</v>
      </c>
      <c r="S250">
        <v>2</v>
      </c>
    </row>
    <row r="251" spans="16:19" x14ac:dyDescent="0.25">
      <c r="P251" s="5" t="s">
        <v>214</v>
      </c>
      <c r="Q251" s="2">
        <v>811</v>
      </c>
      <c r="R251" s="2">
        <v>79</v>
      </c>
      <c r="S251">
        <v>3</v>
      </c>
    </row>
    <row r="252" spans="16:19" x14ac:dyDescent="0.25">
      <c r="P252" s="5" t="s">
        <v>404</v>
      </c>
      <c r="Q252" s="2">
        <v>336</v>
      </c>
      <c r="R252" s="2">
        <v>123</v>
      </c>
      <c r="S252">
        <v>1</v>
      </c>
    </row>
    <row r="253" spans="16:19" x14ac:dyDescent="0.25">
      <c r="P253" s="5" t="s">
        <v>111</v>
      </c>
      <c r="Q253" s="2">
        <v>2393</v>
      </c>
      <c r="R253" s="2">
        <v>685</v>
      </c>
      <c r="S253">
        <v>9</v>
      </c>
    </row>
    <row r="254" spans="16:19" x14ac:dyDescent="0.25">
      <c r="P254" s="5" t="s">
        <v>31</v>
      </c>
      <c r="Q254" s="2">
        <v>1383</v>
      </c>
      <c r="R254" s="2">
        <v>235</v>
      </c>
      <c r="S254">
        <v>10</v>
      </c>
    </row>
    <row r="255" spans="16:19" x14ac:dyDescent="0.25">
      <c r="P255" s="5" t="s">
        <v>113</v>
      </c>
      <c r="Q255" s="2">
        <v>1510</v>
      </c>
      <c r="R255" s="2">
        <v>224</v>
      </c>
      <c r="S255">
        <v>7</v>
      </c>
    </row>
    <row r="256" spans="16:19" x14ac:dyDescent="0.25">
      <c r="P256" s="5" t="s">
        <v>41</v>
      </c>
      <c r="Q256" s="2">
        <v>3388</v>
      </c>
      <c r="R256" s="2">
        <v>970</v>
      </c>
      <c r="S256">
        <v>9</v>
      </c>
    </row>
    <row r="257" spans="16:19" x14ac:dyDescent="0.25">
      <c r="P257" s="5" t="s">
        <v>234</v>
      </c>
      <c r="Q257" s="2">
        <v>1565</v>
      </c>
      <c r="R257" s="2">
        <v>218</v>
      </c>
      <c r="S257">
        <v>8</v>
      </c>
    </row>
    <row r="258" spans="16:19" x14ac:dyDescent="0.25">
      <c r="P258" s="5" t="s">
        <v>171</v>
      </c>
      <c r="Q258" s="2">
        <v>4613</v>
      </c>
      <c r="R258" s="2">
        <v>948</v>
      </c>
      <c r="S258">
        <v>9</v>
      </c>
    </row>
    <row r="259" spans="16:19" x14ac:dyDescent="0.25">
      <c r="P259" s="5" t="s">
        <v>269</v>
      </c>
      <c r="Q259" s="2">
        <v>1078</v>
      </c>
      <c r="R259" s="2">
        <v>130</v>
      </c>
      <c r="S259">
        <v>5</v>
      </c>
    </row>
    <row r="260" spans="16:19" x14ac:dyDescent="0.25">
      <c r="P260" s="5" t="s">
        <v>291</v>
      </c>
      <c r="Q260" s="2">
        <v>1149</v>
      </c>
      <c r="R260" s="2">
        <v>264</v>
      </c>
      <c r="S260">
        <v>3</v>
      </c>
    </row>
    <row r="261" spans="16:19" x14ac:dyDescent="0.25">
      <c r="P261" s="5" t="s">
        <v>187</v>
      </c>
      <c r="Q261" s="2">
        <v>3598</v>
      </c>
      <c r="R261" s="2">
        <v>868</v>
      </c>
      <c r="S261">
        <v>9</v>
      </c>
    </row>
    <row r="262" spans="16:19" x14ac:dyDescent="0.25">
      <c r="P262" s="5" t="s">
        <v>513</v>
      </c>
      <c r="Q262" s="2">
        <v>724</v>
      </c>
      <c r="R262" s="2">
        <v>253</v>
      </c>
      <c r="S262">
        <v>1</v>
      </c>
    </row>
    <row r="263" spans="16:19" x14ac:dyDescent="0.25">
      <c r="P263" s="5" t="s">
        <v>114</v>
      </c>
      <c r="Q263" s="2">
        <v>112</v>
      </c>
      <c r="R263" s="2">
        <v>24</v>
      </c>
      <c r="S263">
        <v>1</v>
      </c>
    </row>
    <row r="264" spans="16:19" x14ac:dyDescent="0.25">
      <c r="P264" s="5" t="s">
        <v>271</v>
      </c>
      <c r="Q264" s="2">
        <v>556</v>
      </c>
      <c r="R264" s="2">
        <v>-38</v>
      </c>
      <c r="S264">
        <v>6</v>
      </c>
    </row>
    <row r="265" spans="16:19" x14ac:dyDescent="0.25">
      <c r="P265" s="5" t="s">
        <v>395</v>
      </c>
      <c r="Q265" s="2">
        <v>2262</v>
      </c>
      <c r="R265" s="2">
        <v>745</v>
      </c>
      <c r="S265">
        <v>3</v>
      </c>
    </row>
    <row r="266" spans="16:19" x14ac:dyDescent="0.25">
      <c r="P266" s="5" t="s">
        <v>312</v>
      </c>
      <c r="Q266" s="2">
        <v>189</v>
      </c>
      <c r="R266" s="2">
        <v>87</v>
      </c>
      <c r="S266">
        <v>1</v>
      </c>
    </row>
    <row r="267" spans="16:19" x14ac:dyDescent="0.25">
      <c r="P267" s="5" t="s">
        <v>382</v>
      </c>
      <c r="Q267" s="2">
        <v>166</v>
      </c>
      <c r="R267" s="2">
        <v>28</v>
      </c>
      <c r="S267">
        <v>4</v>
      </c>
    </row>
    <row r="268" spans="16:19" x14ac:dyDescent="0.25">
      <c r="P268" s="5" t="s">
        <v>445</v>
      </c>
      <c r="Q268" s="2">
        <v>85</v>
      </c>
      <c r="R268" s="2">
        <v>-1</v>
      </c>
      <c r="S268">
        <v>1</v>
      </c>
    </row>
    <row r="269" spans="16:19" x14ac:dyDescent="0.25">
      <c r="P269" s="5" t="s">
        <v>459</v>
      </c>
      <c r="Q269" s="2">
        <v>51</v>
      </c>
      <c r="R269" s="2">
        <v>14</v>
      </c>
      <c r="S269">
        <v>1</v>
      </c>
    </row>
    <row r="270" spans="16:19" x14ac:dyDescent="0.25">
      <c r="P270" s="5" t="s">
        <v>188</v>
      </c>
      <c r="Q270" s="2">
        <v>434</v>
      </c>
      <c r="R270" s="2">
        <v>52</v>
      </c>
      <c r="S270">
        <v>3</v>
      </c>
    </row>
    <row r="271" spans="16:19" x14ac:dyDescent="0.25">
      <c r="P271" s="5" t="s">
        <v>84</v>
      </c>
      <c r="Q271" s="2">
        <v>1350</v>
      </c>
      <c r="R271" s="2">
        <v>278</v>
      </c>
      <c r="S271">
        <v>3</v>
      </c>
    </row>
    <row r="272" spans="16:19" x14ac:dyDescent="0.25">
      <c r="P272" s="5" t="s">
        <v>402</v>
      </c>
      <c r="Q272" s="2">
        <v>86</v>
      </c>
      <c r="R272" s="2">
        <v>9</v>
      </c>
      <c r="S272">
        <v>1</v>
      </c>
    </row>
    <row r="273" spans="16:19" x14ac:dyDescent="0.25">
      <c r="P273" s="5" t="s">
        <v>170</v>
      </c>
      <c r="Q273" s="2">
        <v>1385</v>
      </c>
      <c r="R273" s="2">
        <v>-18</v>
      </c>
      <c r="S273">
        <v>4</v>
      </c>
    </row>
    <row r="274" spans="16:19" x14ac:dyDescent="0.25">
      <c r="P274" s="5" t="s">
        <v>422</v>
      </c>
      <c r="Q274" s="2">
        <v>118</v>
      </c>
      <c r="R274" s="2">
        <v>25</v>
      </c>
      <c r="S274">
        <v>1</v>
      </c>
    </row>
    <row r="275" spans="16:19" x14ac:dyDescent="0.25">
      <c r="P275" s="5" t="s">
        <v>304</v>
      </c>
      <c r="Q275" s="2">
        <v>57</v>
      </c>
      <c r="R275" s="2">
        <v>27</v>
      </c>
      <c r="S275">
        <v>1</v>
      </c>
    </row>
    <row r="276" spans="16:19" x14ac:dyDescent="0.25">
      <c r="P276" s="5" t="s">
        <v>186</v>
      </c>
      <c r="Q276" s="2">
        <v>1757</v>
      </c>
      <c r="R276" s="2">
        <v>455</v>
      </c>
      <c r="S276">
        <v>5</v>
      </c>
    </row>
    <row r="277" spans="16:19" x14ac:dyDescent="0.25">
      <c r="P277" s="5" t="s">
        <v>358</v>
      </c>
      <c r="Q277" s="2">
        <v>124</v>
      </c>
      <c r="R277" s="2">
        <v>54</v>
      </c>
      <c r="S277">
        <v>1</v>
      </c>
    </row>
    <row r="278" spans="16:19" x14ac:dyDescent="0.25">
      <c r="P278" s="5" t="s">
        <v>315</v>
      </c>
      <c r="Q278" s="2">
        <v>248</v>
      </c>
      <c r="R278" s="2">
        <v>8</v>
      </c>
      <c r="S278">
        <v>1</v>
      </c>
    </row>
    <row r="279" spans="16:19" x14ac:dyDescent="0.25">
      <c r="P279" s="5" t="s">
        <v>472</v>
      </c>
      <c r="Q279" s="2">
        <v>282</v>
      </c>
      <c r="R279" s="2">
        <v>14</v>
      </c>
      <c r="S279">
        <v>1</v>
      </c>
    </row>
    <row r="280" spans="16:19" x14ac:dyDescent="0.25">
      <c r="P280" s="5" t="s">
        <v>196</v>
      </c>
      <c r="Q280" s="2">
        <v>1430</v>
      </c>
      <c r="R280" s="2">
        <v>609</v>
      </c>
      <c r="S280">
        <v>3</v>
      </c>
    </row>
    <row r="281" spans="16:19" x14ac:dyDescent="0.25">
      <c r="P281" s="5" t="s">
        <v>140</v>
      </c>
      <c r="Q281" s="2">
        <v>1895</v>
      </c>
      <c r="R281" s="2">
        <v>672</v>
      </c>
      <c r="S281">
        <v>6</v>
      </c>
    </row>
    <row r="282" spans="16:19" x14ac:dyDescent="0.25">
      <c r="P282" s="5" t="s">
        <v>439</v>
      </c>
      <c r="Q282" s="2">
        <v>57</v>
      </c>
      <c r="R282" s="2">
        <v>-28</v>
      </c>
      <c r="S282">
        <v>1</v>
      </c>
    </row>
    <row r="283" spans="16:19" x14ac:dyDescent="0.25">
      <c r="P283" s="5" t="s">
        <v>433</v>
      </c>
      <c r="Q283" s="2">
        <v>108</v>
      </c>
      <c r="R283" s="2">
        <v>37</v>
      </c>
      <c r="S283">
        <v>1</v>
      </c>
    </row>
    <row r="284" spans="16:19" x14ac:dyDescent="0.25">
      <c r="P284" s="5" t="s">
        <v>22</v>
      </c>
      <c r="Q284" s="2">
        <v>5809</v>
      </c>
      <c r="R284" s="2">
        <v>400</v>
      </c>
      <c r="S284">
        <v>6</v>
      </c>
    </row>
    <row r="285" spans="16:19" x14ac:dyDescent="0.25">
      <c r="P285" s="5" t="s">
        <v>360</v>
      </c>
      <c r="Q285" s="2">
        <v>121</v>
      </c>
      <c r="R285" s="2">
        <v>19</v>
      </c>
      <c r="S285">
        <v>1</v>
      </c>
    </row>
    <row r="286" spans="16:19" x14ac:dyDescent="0.25">
      <c r="P286" s="5" t="s">
        <v>59</v>
      </c>
      <c r="Q286" s="2">
        <v>404</v>
      </c>
      <c r="R286" s="2">
        <v>28</v>
      </c>
      <c r="S286">
        <v>5</v>
      </c>
    </row>
    <row r="287" spans="16:19" x14ac:dyDescent="0.25">
      <c r="P287" s="5" t="s">
        <v>511</v>
      </c>
      <c r="Q287" s="2">
        <v>24</v>
      </c>
      <c r="R287" s="2">
        <v>2</v>
      </c>
      <c r="S287">
        <v>1</v>
      </c>
    </row>
    <row r="288" spans="16:19" x14ac:dyDescent="0.25">
      <c r="P288" s="5" t="s">
        <v>146</v>
      </c>
      <c r="Q288" s="2">
        <v>1571</v>
      </c>
      <c r="R288" s="2">
        <v>421</v>
      </c>
      <c r="S288">
        <v>4</v>
      </c>
    </row>
    <row r="289" spans="16:19" x14ac:dyDescent="0.25">
      <c r="P289" s="5" t="s">
        <v>184</v>
      </c>
      <c r="Q289" s="2">
        <v>761</v>
      </c>
      <c r="R289" s="2">
        <v>139</v>
      </c>
      <c r="S289">
        <v>4</v>
      </c>
    </row>
    <row r="290" spans="16:19" x14ac:dyDescent="0.25">
      <c r="P290" s="5" t="s">
        <v>34</v>
      </c>
      <c r="Q290" s="2">
        <v>2208</v>
      </c>
      <c r="R290" s="2">
        <v>-228</v>
      </c>
      <c r="S290">
        <v>2</v>
      </c>
    </row>
    <row r="291" spans="16:19" x14ac:dyDescent="0.25">
      <c r="P291" s="5" t="s">
        <v>159</v>
      </c>
      <c r="Q291" s="2">
        <v>887</v>
      </c>
      <c r="R291" s="2">
        <v>-207</v>
      </c>
      <c r="S291">
        <v>3</v>
      </c>
    </row>
    <row r="292" spans="16:19" x14ac:dyDescent="0.25">
      <c r="P292" s="5" t="s">
        <v>386</v>
      </c>
      <c r="Q292" s="2">
        <v>264</v>
      </c>
      <c r="R292" s="2">
        <v>-22</v>
      </c>
      <c r="S292">
        <v>3</v>
      </c>
    </row>
    <row r="293" spans="16:19" x14ac:dyDescent="0.25">
      <c r="P293" s="5" t="s">
        <v>522</v>
      </c>
      <c r="Q293" s="2">
        <v>465</v>
      </c>
      <c r="R293" s="2">
        <v>207</v>
      </c>
      <c r="S293">
        <v>1</v>
      </c>
    </row>
    <row r="294" spans="16:19" x14ac:dyDescent="0.25">
      <c r="P294" s="5" t="s">
        <v>237</v>
      </c>
      <c r="Q294" s="2">
        <v>243</v>
      </c>
      <c r="R294" s="2">
        <v>79</v>
      </c>
      <c r="S294">
        <v>3</v>
      </c>
    </row>
    <row r="295" spans="16:19" x14ac:dyDescent="0.25">
      <c r="P295" s="5" t="s">
        <v>406</v>
      </c>
      <c r="Q295" s="2">
        <v>139</v>
      </c>
      <c r="R295" s="2">
        <v>30</v>
      </c>
      <c r="S295">
        <v>1</v>
      </c>
    </row>
    <row r="296" spans="16:19" x14ac:dyDescent="0.25">
      <c r="P296" s="5" t="s">
        <v>202</v>
      </c>
      <c r="Q296" s="2">
        <v>1931</v>
      </c>
      <c r="R296" s="2">
        <v>-58</v>
      </c>
      <c r="S296">
        <v>7</v>
      </c>
    </row>
    <row r="297" spans="16:19" x14ac:dyDescent="0.25">
      <c r="P297" s="5" t="s">
        <v>527</v>
      </c>
      <c r="Q297" s="2">
        <v>1246</v>
      </c>
      <c r="R297" s="2">
        <v>62</v>
      </c>
      <c r="S297">
        <v>1</v>
      </c>
    </row>
    <row r="298" spans="16:19" x14ac:dyDescent="0.25">
      <c r="P298" s="5" t="s">
        <v>226</v>
      </c>
      <c r="Q298" s="2">
        <v>388</v>
      </c>
      <c r="R298" s="2">
        <v>93</v>
      </c>
      <c r="S298">
        <v>1</v>
      </c>
    </row>
    <row r="299" spans="16:19" x14ac:dyDescent="0.25">
      <c r="P299" s="5" t="s">
        <v>191</v>
      </c>
      <c r="Q299" s="2">
        <v>755</v>
      </c>
      <c r="R299" s="2">
        <v>36</v>
      </c>
      <c r="S299">
        <v>7</v>
      </c>
    </row>
    <row r="300" spans="16:19" x14ac:dyDescent="0.25">
      <c r="P300" s="5" t="s">
        <v>185</v>
      </c>
      <c r="Q300" s="2">
        <v>834</v>
      </c>
      <c r="R300" s="2">
        <v>239</v>
      </c>
      <c r="S300">
        <v>4</v>
      </c>
    </row>
    <row r="301" spans="16:19" x14ac:dyDescent="0.25">
      <c r="P301" s="5" t="s">
        <v>115</v>
      </c>
      <c r="Q301" s="2">
        <v>2866</v>
      </c>
      <c r="R301" s="2">
        <v>-154</v>
      </c>
      <c r="S301">
        <v>8</v>
      </c>
    </row>
    <row r="302" spans="16:19" x14ac:dyDescent="0.25">
      <c r="P302" s="5" t="s">
        <v>178</v>
      </c>
      <c r="Q302" s="2">
        <v>939</v>
      </c>
      <c r="R302" s="2">
        <v>41</v>
      </c>
      <c r="S302">
        <v>4</v>
      </c>
    </row>
    <row r="303" spans="16:19" x14ac:dyDescent="0.25">
      <c r="P303" s="5" t="s">
        <v>89</v>
      </c>
      <c r="Q303" s="2">
        <v>365</v>
      </c>
      <c r="R303" s="2">
        <v>132</v>
      </c>
      <c r="S303">
        <v>3</v>
      </c>
    </row>
    <row r="304" spans="16:19" x14ac:dyDescent="0.25">
      <c r="P304" s="5" t="s">
        <v>378</v>
      </c>
      <c r="Q304" s="2">
        <v>468</v>
      </c>
      <c r="R304" s="2">
        <v>95</v>
      </c>
      <c r="S304">
        <v>4</v>
      </c>
    </row>
    <row r="305" spans="16:19" x14ac:dyDescent="0.25">
      <c r="P305" s="5" t="s">
        <v>306</v>
      </c>
      <c r="Q305" s="2">
        <v>3003</v>
      </c>
      <c r="R305" s="2">
        <v>243</v>
      </c>
      <c r="S305">
        <v>5</v>
      </c>
    </row>
    <row r="306" spans="16:19" x14ac:dyDescent="0.25">
      <c r="P306" s="5" t="s">
        <v>134</v>
      </c>
      <c r="Q306" s="2">
        <v>1210</v>
      </c>
      <c r="R306" s="2">
        <v>99</v>
      </c>
      <c r="S306">
        <v>8</v>
      </c>
    </row>
    <row r="307" spans="16:19" x14ac:dyDescent="0.25">
      <c r="P307" s="5" t="s">
        <v>374</v>
      </c>
      <c r="Q307" s="2">
        <v>954</v>
      </c>
      <c r="R307" s="2">
        <v>143</v>
      </c>
      <c r="S307">
        <v>2</v>
      </c>
    </row>
    <row r="308" spans="16:19" x14ac:dyDescent="0.25">
      <c r="P308" s="5" t="s">
        <v>197</v>
      </c>
      <c r="Q308" s="2">
        <v>152</v>
      </c>
      <c r="R308" s="2">
        <v>50</v>
      </c>
      <c r="S308">
        <v>1</v>
      </c>
    </row>
    <row r="309" spans="16:19" x14ac:dyDescent="0.25">
      <c r="P309" s="5" t="s">
        <v>409</v>
      </c>
      <c r="Q309" s="2">
        <v>78</v>
      </c>
      <c r="R309" s="2">
        <v>27</v>
      </c>
      <c r="S309">
        <v>1</v>
      </c>
    </row>
    <row r="310" spans="16:19" x14ac:dyDescent="0.25">
      <c r="P310" s="5" t="s">
        <v>498</v>
      </c>
      <c r="Q310" s="2">
        <v>30</v>
      </c>
      <c r="R310" s="2">
        <v>11</v>
      </c>
      <c r="S310">
        <v>1</v>
      </c>
    </row>
    <row r="311" spans="16:19" x14ac:dyDescent="0.25">
      <c r="P311" s="5" t="s">
        <v>317</v>
      </c>
      <c r="Q311" s="2">
        <v>179</v>
      </c>
      <c r="R311" s="2">
        <v>-25</v>
      </c>
      <c r="S311">
        <v>1</v>
      </c>
    </row>
    <row r="312" spans="16:19" x14ac:dyDescent="0.25">
      <c r="P312" s="5" t="s">
        <v>71</v>
      </c>
      <c r="Q312" s="2">
        <v>2233</v>
      </c>
      <c r="R312" s="2">
        <v>-246</v>
      </c>
      <c r="S312">
        <v>5</v>
      </c>
    </row>
    <row r="313" spans="16:19" x14ac:dyDescent="0.25">
      <c r="P313" s="5" t="s">
        <v>44</v>
      </c>
      <c r="Q313" s="2">
        <v>3574</v>
      </c>
      <c r="R313" s="2">
        <v>-843</v>
      </c>
      <c r="S313">
        <v>6</v>
      </c>
    </row>
    <row r="314" spans="16:19" x14ac:dyDescent="0.25">
      <c r="P314" s="5" t="s">
        <v>160</v>
      </c>
      <c r="Q314" s="2">
        <v>40</v>
      </c>
      <c r="R314" s="2">
        <v>15</v>
      </c>
      <c r="S314">
        <v>1</v>
      </c>
    </row>
    <row r="315" spans="16:19" x14ac:dyDescent="0.25">
      <c r="P315" s="5" t="s">
        <v>376</v>
      </c>
      <c r="Q315" s="2">
        <v>102</v>
      </c>
      <c r="R315" s="2">
        <v>11</v>
      </c>
      <c r="S315">
        <v>1</v>
      </c>
    </row>
    <row r="316" spans="16:19" x14ac:dyDescent="0.25">
      <c r="P316" s="5" t="s">
        <v>295</v>
      </c>
      <c r="Q316" s="2">
        <v>103</v>
      </c>
      <c r="R316" s="2">
        <v>21</v>
      </c>
      <c r="S316">
        <v>1</v>
      </c>
    </row>
    <row r="317" spans="16:19" x14ac:dyDescent="0.25">
      <c r="P317" s="5" t="s">
        <v>401</v>
      </c>
      <c r="Q317" s="2">
        <v>585</v>
      </c>
      <c r="R317" s="2">
        <v>-121</v>
      </c>
      <c r="S317">
        <v>2</v>
      </c>
    </row>
    <row r="318" spans="16:19" x14ac:dyDescent="0.25">
      <c r="P318" s="5" t="s">
        <v>257</v>
      </c>
      <c r="Q318" s="2">
        <v>277</v>
      </c>
      <c r="R318" s="2">
        <v>3</v>
      </c>
      <c r="S318">
        <v>1</v>
      </c>
    </row>
    <row r="319" spans="16:19" x14ac:dyDescent="0.25">
      <c r="P319" s="5" t="s">
        <v>464</v>
      </c>
      <c r="Q319" s="2">
        <v>80</v>
      </c>
      <c r="R319" s="2">
        <v>-26</v>
      </c>
      <c r="S319">
        <v>1</v>
      </c>
    </row>
    <row r="320" spans="16:19" x14ac:dyDescent="0.25">
      <c r="P320" s="5" t="s">
        <v>365</v>
      </c>
      <c r="Q320" s="2">
        <v>100</v>
      </c>
      <c r="R320" s="2">
        <v>12</v>
      </c>
      <c r="S320">
        <v>1</v>
      </c>
    </row>
    <row r="321" spans="16:19" x14ac:dyDescent="0.25">
      <c r="P321" s="5" t="s">
        <v>277</v>
      </c>
      <c r="Q321" s="2">
        <v>244</v>
      </c>
      <c r="R321" s="2">
        <v>-122</v>
      </c>
      <c r="S321">
        <v>1</v>
      </c>
    </row>
    <row r="322" spans="16:19" x14ac:dyDescent="0.25">
      <c r="P322" s="5" t="s">
        <v>385</v>
      </c>
      <c r="Q322" s="2">
        <v>3350</v>
      </c>
      <c r="R322" s="2">
        <v>-395</v>
      </c>
      <c r="S322">
        <v>5</v>
      </c>
    </row>
    <row r="323" spans="16:19" x14ac:dyDescent="0.25">
      <c r="P323" s="5" t="s">
        <v>363</v>
      </c>
      <c r="Q323" s="2">
        <v>100</v>
      </c>
      <c r="R323" s="2">
        <v>7</v>
      </c>
      <c r="S323">
        <v>1</v>
      </c>
    </row>
    <row r="324" spans="16:19" x14ac:dyDescent="0.25">
      <c r="P324" s="5" t="s">
        <v>403</v>
      </c>
      <c r="Q324" s="2">
        <v>325</v>
      </c>
      <c r="R324" s="2">
        <v>-67</v>
      </c>
      <c r="S324">
        <v>3</v>
      </c>
    </row>
    <row r="325" spans="16:19" x14ac:dyDescent="0.25">
      <c r="P325" s="5" t="s">
        <v>457</v>
      </c>
      <c r="Q325" s="2">
        <v>52</v>
      </c>
      <c r="R325" s="2">
        <v>18</v>
      </c>
      <c r="S325">
        <v>1</v>
      </c>
    </row>
    <row r="326" spans="16:19" x14ac:dyDescent="0.25">
      <c r="P326" s="5" t="s">
        <v>35</v>
      </c>
      <c r="Q326" s="2">
        <v>4836</v>
      </c>
      <c r="R326" s="2">
        <v>-816</v>
      </c>
      <c r="S326">
        <v>4</v>
      </c>
    </row>
    <row r="327" spans="16:19" x14ac:dyDescent="0.25">
      <c r="P327" s="5" t="s">
        <v>391</v>
      </c>
      <c r="Q327" s="2">
        <v>148</v>
      </c>
      <c r="R327" s="2">
        <v>54</v>
      </c>
      <c r="S327">
        <v>1</v>
      </c>
    </row>
    <row r="328" spans="16:19" x14ac:dyDescent="0.25">
      <c r="P328" s="5" t="s">
        <v>216</v>
      </c>
      <c r="Q328" s="2">
        <v>1569</v>
      </c>
      <c r="R328" s="2">
        <v>-15</v>
      </c>
      <c r="S328">
        <v>3</v>
      </c>
    </row>
    <row r="329" spans="16:19" x14ac:dyDescent="0.25">
      <c r="P329" s="5" t="s">
        <v>293</v>
      </c>
      <c r="Q329" s="2">
        <v>57</v>
      </c>
      <c r="R329" s="2">
        <v>6</v>
      </c>
      <c r="S329">
        <v>1</v>
      </c>
    </row>
    <row r="330" spans="16:19" x14ac:dyDescent="0.25">
      <c r="P330" s="5" t="s">
        <v>333</v>
      </c>
      <c r="Q330" s="2">
        <v>200</v>
      </c>
      <c r="R330" s="2">
        <v>7</v>
      </c>
      <c r="S330">
        <v>1</v>
      </c>
    </row>
    <row r="331" spans="16:19" x14ac:dyDescent="0.25">
      <c r="P331" s="5" t="s">
        <v>397</v>
      </c>
      <c r="Q331" s="2">
        <v>147</v>
      </c>
      <c r="R331" s="2">
        <v>25</v>
      </c>
      <c r="S331">
        <v>2</v>
      </c>
    </row>
    <row r="332" spans="16:19" x14ac:dyDescent="0.25">
      <c r="P332" s="5" t="s">
        <v>96</v>
      </c>
      <c r="Q332" s="2">
        <v>1678</v>
      </c>
      <c r="R332" s="2">
        <v>316</v>
      </c>
      <c r="S332">
        <v>3</v>
      </c>
    </row>
    <row r="333" spans="16:19" x14ac:dyDescent="0.25">
      <c r="P333" s="5" t="s">
        <v>165</v>
      </c>
      <c r="Q333" s="2">
        <v>1397</v>
      </c>
      <c r="R333" s="2">
        <v>173</v>
      </c>
      <c r="S333">
        <v>6</v>
      </c>
    </row>
    <row r="334" spans="16:19" x14ac:dyDescent="0.25">
      <c r="P334" s="5" t="s">
        <v>473</v>
      </c>
      <c r="Q334" s="2">
        <v>73</v>
      </c>
      <c r="R334" s="2">
        <v>-36</v>
      </c>
      <c r="S334">
        <v>1</v>
      </c>
    </row>
    <row r="335" spans="16:19" x14ac:dyDescent="0.25">
      <c r="P335" s="5" t="s">
        <v>419</v>
      </c>
      <c r="Q335" s="2">
        <v>71</v>
      </c>
      <c r="R335" s="2">
        <v>-14</v>
      </c>
      <c r="S335">
        <v>1</v>
      </c>
    </row>
    <row r="336" spans="16:19" x14ac:dyDescent="0.25">
      <c r="P336" s="5" t="s">
        <v>219</v>
      </c>
      <c r="Q336" s="2">
        <v>700</v>
      </c>
      <c r="R336" s="2">
        <v>268</v>
      </c>
      <c r="S336">
        <v>3</v>
      </c>
    </row>
    <row r="337" spans="16:19" x14ac:dyDescent="0.25">
      <c r="P337" s="5" t="s">
        <v>375</v>
      </c>
      <c r="Q337" s="2">
        <v>105</v>
      </c>
      <c r="R337" s="2">
        <v>33</v>
      </c>
      <c r="S337">
        <v>1</v>
      </c>
    </row>
    <row r="338" spans="16:19" x14ac:dyDescent="0.25">
      <c r="P338" s="5" t="s">
        <v>74</v>
      </c>
      <c r="Q338" s="2">
        <v>1969</v>
      </c>
      <c r="R338" s="2">
        <v>512</v>
      </c>
      <c r="S338">
        <v>3</v>
      </c>
    </row>
    <row r="339" spans="16:19" x14ac:dyDescent="0.25">
      <c r="P339" s="5" t="s">
        <v>483</v>
      </c>
      <c r="Q339" s="2">
        <v>61</v>
      </c>
      <c r="R339" s="2">
        <v>25</v>
      </c>
      <c r="S339">
        <v>1</v>
      </c>
    </row>
    <row r="340" spans="16:19" x14ac:dyDescent="0.25">
      <c r="P340" s="5" t="s">
        <v>524</v>
      </c>
      <c r="Q340" s="2">
        <v>1101</v>
      </c>
      <c r="R340" s="2">
        <v>352</v>
      </c>
      <c r="S340">
        <v>1</v>
      </c>
    </row>
    <row r="341" spans="16:19" x14ac:dyDescent="0.25">
      <c r="P341" s="5" t="s">
        <v>389</v>
      </c>
      <c r="Q341" s="2">
        <v>120</v>
      </c>
      <c r="R341" s="2">
        <v>26</v>
      </c>
      <c r="S341">
        <v>2</v>
      </c>
    </row>
    <row r="342" spans="16:19" x14ac:dyDescent="0.25">
      <c r="P342" s="5" t="s">
        <v>408</v>
      </c>
      <c r="Q342" s="2">
        <v>666</v>
      </c>
      <c r="R342" s="2">
        <v>92</v>
      </c>
      <c r="S342">
        <v>3</v>
      </c>
    </row>
    <row r="343" spans="16:19" x14ac:dyDescent="0.25">
      <c r="P343" s="5" t="s">
        <v>193</v>
      </c>
      <c r="Q343" s="2">
        <v>114</v>
      </c>
      <c r="R343" s="2">
        <v>7</v>
      </c>
      <c r="S343">
        <v>3</v>
      </c>
    </row>
    <row r="344" spans="16:19" x14ac:dyDescent="0.25">
      <c r="P344" s="5" t="s">
        <v>434</v>
      </c>
      <c r="Q344" s="2">
        <v>177</v>
      </c>
      <c r="R344" s="2">
        <v>41</v>
      </c>
      <c r="S344">
        <v>1</v>
      </c>
    </row>
    <row r="345" spans="16:19" x14ac:dyDescent="0.25">
      <c r="P345" s="5" t="s">
        <v>220</v>
      </c>
      <c r="Q345" s="2">
        <v>646</v>
      </c>
      <c r="R345" s="2">
        <v>-23</v>
      </c>
      <c r="S345">
        <v>1</v>
      </c>
    </row>
    <row r="346" spans="16:19" x14ac:dyDescent="0.25">
      <c r="P346" s="5" t="s">
        <v>72</v>
      </c>
      <c r="Q346" s="2">
        <v>1907</v>
      </c>
      <c r="R346" s="2">
        <v>420</v>
      </c>
      <c r="S346">
        <v>5</v>
      </c>
    </row>
    <row r="347" spans="16:19" x14ac:dyDescent="0.25">
      <c r="P347" s="5" t="s">
        <v>431</v>
      </c>
      <c r="Q347" s="2">
        <v>169</v>
      </c>
      <c r="R347" s="2">
        <v>38</v>
      </c>
      <c r="S347">
        <v>1</v>
      </c>
    </row>
    <row r="348" spans="16:19" x14ac:dyDescent="0.25">
      <c r="P348" s="5" t="s">
        <v>125</v>
      </c>
      <c r="Q348" s="2">
        <v>1133</v>
      </c>
      <c r="R348" s="2">
        <v>-9</v>
      </c>
      <c r="S348">
        <v>4</v>
      </c>
    </row>
    <row r="349" spans="16:19" x14ac:dyDescent="0.25">
      <c r="P349" s="5" t="s">
        <v>414</v>
      </c>
      <c r="Q349" s="2">
        <v>146</v>
      </c>
      <c r="R349" s="2">
        <v>7</v>
      </c>
      <c r="S349">
        <v>1</v>
      </c>
    </row>
    <row r="350" spans="16:19" x14ac:dyDescent="0.25">
      <c r="P350" s="5" t="s">
        <v>449</v>
      </c>
      <c r="Q350" s="2">
        <v>497</v>
      </c>
      <c r="R350" s="2">
        <v>68</v>
      </c>
      <c r="S350">
        <v>2</v>
      </c>
    </row>
    <row r="351" spans="16:19" x14ac:dyDescent="0.25">
      <c r="P351" s="5" t="s">
        <v>334</v>
      </c>
      <c r="Q351" s="2">
        <v>152</v>
      </c>
      <c r="R351" s="2">
        <v>23</v>
      </c>
      <c r="S351">
        <v>1</v>
      </c>
    </row>
    <row r="352" spans="16:19" x14ac:dyDescent="0.25">
      <c r="P352" s="5" t="s">
        <v>383</v>
      </c>
      <c r="Q352" s="2">
        <v>315</v>
      </c>
      <c r="R352" s="2">
        <v>77</v>
      </c>
      <c r="S352">
        <v>3</v>
      </c>
    </row>
    <row r="353" spans="16:19" x14ac:dyDescent="0.25">
      <c r="P353" s="5" t="s">
        <v>46</v>
      </c>
      <c r="Q353" s="2">
        <v>3211</v>
      </c>
      <c r="R353" s="2">
        <v>268</v>
      </c>
      <c r="S353">
        <v>9</v>
      </c>
    </row>
    <row r="354" spans="16:19" x14ac:dyDescent="0.25">
      <c r="P354" s="5" t="s">
        <v>179</v>
      </c>
      <c r="Q354" s="2">
        <v>1782</v>
      </c>
      <c r="R354" s="2">
        <v>516</v>
      </c>
      <c r="S354">
        <v>10</v>
      </c>
    </row>
    <row r="355" spans="16:19" x14ac:dyDescent="0.25">
      <c r="P355" s="5" t="s">
        <v>133</v>
      </c>
      <c r="Q355" s="2">
        <v>1752</v>
      </c>
      <c r="R355" s="2">
        <v>231</v>
      </c>
      <c r="S355">
        <v>7</v>
      </c>
    </row>
    <row r="356" spans="16:19" x14ac:dyDescent="0.25">
      <c r="P356" s="5" t="s">
        <v>132</v>
      </c>
      <c r="Q356" s="2">
        <v>2567</v>
      </c>
      <c r="R356" s="2">
        <v>391</v>
      </c>
      <c r="S356">
        <v>9</v>
      </c>
    </row>
    <row r="357" spans="16:19" x14ac:dyDescent="0.25">
      <c r="P357" s="5" t="s">
        <v>328</v>
      </c>
      <c r="Q357" s="2">
        <v>2017</v>
      </c>
      <c r="R357" s="2">
        <v>131</v>
      </c>
      <c r="S357">
        <v>8</v>
      </c>
    </row>
    <row r="358" spans="16:19" x14ac:dyDescent="0.25">
      <c r="P358" s="5" t="s">
        <v>15</v>
      </c>
      <c r="Q358" s="2">
        <v>6339</v>
      </c>
      <c r="R358" s="2">
        <v>669</v>
      </c>
      <c r="S358">
        <v>9</v>
      </c>
    </row>
    <row r="359" spans="16:19" x14ac:dyDescent="0.25">
      <c r="P359" s="5" t="s">
        <v>394</v>
      </c>
      <c r="Q359" s="2">
        <v>795</v>
      </c>
      <c r="R359" s="2">
        <v>67</v>
      </c>
      <c r="S359">
        <v>5</v>
      </c>
    </row>
    <row r="360" spans="16:19" x14ac:dyDescent="0.25">
      <c r="P360" s="5" t="s">
        <v>105</v>
      </c>
      <c r="Q360" s="2">
        <v>1513</v>
      </c>
      <c r="R360" s="2">
        <v>62</v>
      </c>
      <c r="S360">
        <v>3</v>
      </c>
    </row>
    <row r="361" spans="16:19" x14ac:dyDescent="0.25">
      <c r="P361" s="5" t="s">
        <v>370</v>
      </c>
      <c r="Q361" s="2">
        <v>465</v>
      </c>
      <c r="R361" s="2">
        <v>57</v>
      </c>
      <c r="S361">
        <v>2</v>
      </c>
    </row>
    <row r="362" spans="16:19" x14ac:dyDescent="0.25">
      <c r="P362" s="5" t="s">
        <v>157</v>
      </c>
      <c r="Q362" s="2">
        <v>2268</v>
      </c>
      <c r="R362" s="2">
        <v>627</v>
      </c>
      <c r="S362">
        <v>8</v>
      </c>
    </row>
    <row r="363" spans="16:19" x14ac:dyDescent="0.25">
      <c r="P363" s="5" t="s">
        <v>364</v>
      </c>
      <c r="Q363" s="2">
        <v>171</v>
      </c>
      <c r="R363" s="2">
        <v>-140</v>
      </c>
      <c r="S363">
        <v>1</v>
      </c>
    </row>
    <row r="364" spans="16:19" x14ac:dyDescent="0.25">
      <c r="P364" s="5" t="s">
        <v>209</v>
      </c>
      <c r="Q364" s="2">
        <v>954</v>
      </c>
      <c r="R364" s="2">
        <v>134</v>
      </c>
      <c r="S364">
        <v>6</v>
      </c>
    </row>
    <row r="365" spans="16:19" x14ac:dyDescent="0.25">
      <c r="P365" s="5" t="s">
        <v>177</v>
      </c>
      <c r="Q365" s="2">
        <v>1116</v>
      </c>
      <c r="R365" s="2">
        <v>-22</v>
      </c>
      <c r="S365">
        <v>3</v>
      </c>
    </row>
    <row r="366" spans="16:19" x14ac:dyDescent="0.25">
      <c r="P366" s="5" t="s">
        <v>399</v>
      </c>
      <c r="Q366" s="2">
        <v>53</v>
      </c>
      <c r="R366" s="2">
        <v>8</v>
      </c>
      <c r="S366">
        <v>1</v>
      </c>
    </row>
    <row r="367" spans="16:19" x14ac:dyDescent="0.25">
      <c r="P367" s="5" t="s">
        <v>235</v>
      </c>
      <c r="Q367" s="2">
        <v>1904</v>
      </c>
      <c r="R367" s="2">
        <v>660</v>
      </c>
      <c r="S367">
        <v>4</v>
      </c>
    </row>
    <row r="368" spans="16:19" x14ac:dyDescent="0.25">
      <c r="P368" s="5" t="s">
        <v>93</v>
      </c>
      <c r="Q368" s="2">
        <v>17</v>
      </c>
      <c r="R368" s="2">
        <v>7</v>
      </c>
      <c r="S368">
        <v>1</v>
      </c>
    </row>
    <row r="369" spans="16:19" x14ac:dyDescent="0.25">
      <c r="P369" s="5" t="s">
        <v>232</v>
      </c>
      <c r="Q369" s="2">
        <v>510</v>
      </c>
      <c r="R369" s="2">
        <v>234</v>
      </c>
      <c r="S369">
        <v>1</v>
      </c>
    </row>
    <row r="370" spans="16:19" x14ac:dyDescent="0.25">
      <c r="P370" s="5" t="s">
        <v>94</v>
      </c>
      <c r="Q370" s="2">
        <v>365</v>
      </c>
      <c r="R370" s="2">
        <v>37</v>
      </c>
      <c r="S370">
        <v>3</v>
      </c>
    </row>
    <row r="371" spans="16:19" x14ac:dyDescent="0.25">
      <c r="P371" s="5" t="s">
        <v>515</v>
      </c>
      <c r="Q371" s="2">
        <v>811</v>
      </c>
      <c r="R371" s="2">
        <v>154</v>
      </c>
      <c r="S371">
        <v>1</v>
      </c>
    </row>
    <row r="372" spans="16:19" x14ac:dyDescent="0.25">
      <c r="P372" s="5" t="s">
        <v>436</v>
      </c>
      <c r="Q372" s="2">
        <v>3343</v>
      </c>
      <c r="R372" s="2">
        <v>251</v>
      </c>
      <c r="S372">
        <v>3</v>
      </c>
    </row>
    <row r="373" spans="16:19" x14ac:dyDescent="0.25">
      <c r="P373" s="5" t="s">
        <v>136</v>
      </c>
      <c r="Q373" s="2">
        <v>1421</v>
      </c>
      <c r="R373" s="2">
        <v>398</v>
      </c>
      <c r="S373">
        <v>4</v>
      </c>
    </row>
    <row r="374" spans="16:19" x14ac:dyDescent="0.25">
      <c r="P374" s="5" t="s">
        <v>278</v>
      </c>
      <c r="Q374" s="2">
        <v>244</v>
      </c>
      <c r="R374" s="2">
        <v>83</v>
      </c>
      <c r="S374">
        <v>1</v>
      </c>
    </row>
    <row r="375" spans="16:19" x14ac:dyDescent="0.25">
      <c r="P375" s="5" t="s">
        <v>366</v>
      </c>
      <c r="Q375" s="2">
        <v>115</v>
      </c>
      <c r="R375" s="2">
        <v>47</v>
      </c>
      <c r="S375">
        <v>1</v>
      </c>
    </row>
    <row r="376" spans="16:19" x14ac:dyDescent="0.25">
      <c r="P376" s="5" t="s">
        <v>225</v>
      </c>
      <c r="Q376" s="2">
        <v>5228</v>
      </c>
      <c r="R376" s="2">
        <v>1970</v>
      </c>
      <c r="S376">
        <v>5</v>
      </c>
    </row>
    <row r="377" spans="16:19" x14ac:dyDescent="0.25">
      <c r="P377" s="5" t="s">
        <v>510</v>
      </c>
      <c r="Q377" s="2">
        <v>662</v>
      </c>
      <c r="R377" s="2">
        <v>240</v>
      </c>
      <c r="S377">
        <v>1</v>
      </c>
    </row>
    <row r="378" spans="16:19" x14ac:dyDescent="0.25">
      <c r="P378" s="5" t="s">
        <v>500</v>
      </c>
      <c r="Q378" s="2">
        <v>29</v>
      </c>
      <c r="R378" s="2">
        <v>2</v>
      </c>
      <c r="S378">
        <v>1</v>
      </c>
    </row>
    <row r="379" spans="16:19" x14ac:dyDescent="0.25">
      <c r="P379" s="5" t="s">
        <v>444</v>
      </c>
      <c r="Q379" s="2">
        <v>193</v>
      </c>
      <c r="R379" s="2">
        <v>8</v>
      </c>
      <c r="S379">
        <v>1</v>
      </c>
    </row>
    <row r="380" spans="16:19" x14ac:dyDescent="0.25">
      <c r="P380" s="5" t="s">
        <v>217</v>
      </c>
      <c r="Q380" s="2">
        <v>281</v>
      </c>
      <c r="R380" s="2">
        <v>84</v>
      </c>
      <c r="S380">
        <v>3</v>
      </c>
    </row>
    <row r="381" spans="16:19" x14ac:dyDescent="0.25">
      <c r="P381" s="5" t="s">
        <v>478</v>
      </c>
      <c r="Q381" s="2">
        <v>1404</v>
      </c>
      <c r="R381" s="2">
        <v>-15</v>
      </c>
      <c r="S381">
        <v>2</v>
      </c>
    </row>
    <row r="382" spans="16:19" x14ac:dyDescent="0.25">
      <c r="P382" s="5" t="s">
        <v>300</v>
      </c>
      <c r="Q382" s="2">
        <v>995</v>
      </c>
      <c r="R382" s="2">
        <v>90</v>
      </c>
      <c r="S382">
        <v>5</v>
      </c>
    </row>
    <row r="383" spans="16:19" x14ac:dyDescent="0.25">
      <c r="P383" s="5" t="s">
        <v>195</v>
      </c>
      <c r="Q383" s="2">
        <v>22</v>
      </c>
      <c r="R383" s="2">
        <v>11</v>
      </c>
      <c r="S383">
        <v>1</v>
      </c>
    </row>
    <row r="384" spans="16:19" x14ac:dyDescent="0.25">
      <c r="P384" s="5" t="s">
        <v>264</v>
      </c>
      <c r="Q384" s="2">
        <v>1318</v>
      </c>
      <c r="R384" s="2">
        <v>377</v>
      </c>
      <c r="S384">
        <v>6</v>
      </c>
    </row>
    <row r="385" spans="16:19" x14ac:dyDescent="0.25">
      <c r="P385" s="5" t="s">
        <v>525</v>
      </c>
      <c r="Q385" s="2">
        <v>13</v>
      </c>
      <c r="R385" s="2">
        <v>3</v>
      </c>
      <c r="S385">
        <v>1</v>
      </c>
    </row>
    <row r="386" spans="16:19" x14ac:dyDescent="0.25">
      <c r="P386" s="5" t="s">
        <v>223</v>
      </c>
      <c r="Q386" s="2">
        <v>1034</v>
      </c>
      <c r="R386" s="2">
        <v>-122</v>
      </c>
      <c r="S386">
        <v>5</v>
      </c>
    </row>
    <row r="387" spans="16:19" x14ac:dyDescent="0.25">
      <c r="P387" s="5" t="s">
        <v>102</v>
      </c>
      <c r="Q387" s="2">
        <v>304</v>
      </c>
      <c r="R387" s="2">
        <v>97</v>
      </c>
      <c r="S387">
        <v>1</v>
      </c>
    </row>
    <row r="388" spans="16:19" x14ac:dyDescent="0.25">
      <c r="P388" s="5" t="s">
        <v>281</v>
      </c>
      <c r="Q388" s="2">
        <v>381</v>
      </c>
      <c r="R388" s="2">
        <v>65</v>
      </c>
      <c r="S388">
        <v>4</v>
      </c>
    </row>
    <row r="389" spans="16:19" x14ac:dyDescent="0.25">
      <c r="P389" s="5" t="s">
        <v>130</v>
      </c>
      <c r="Q389" s="2">
        <v>2225</v>
      </c>
      <c r="R389" s="2">
        <v>-304</v>
      </c>
      <c r="S389">
        <v>4</v>
      </c>
    </row>
    <row r="390" spans="16:19" x14ac:dyDescent="0.25">
      <c r="P390" s="5" t="s">
        <v>248</v>
      </c>
      <c r="Q390" s="2">
        <v>387</v>
      </c>
      <c r="R390" s="2">
        <v>11</v>
      </c>
      <c r="S390">
        <v>2</v>
      </c>
    </row>
    <row r="391" spans="16:19" x14ac:dyDescent="0.25">
      <c r="P391" s="5" t="s">
        <v>407</v>
      </c>
      <c r="Q391" s="2">
        <v>79</v>
      </c>
      <c r="R391" s="2">
        <v>-124</v>
      </c>
      <c r="S391">
        <v>1</v>
      </c>
    </row>
    <row r="392" spans="16:19" x14ac:dyDescent="0.25">
      <c r="P392" s="5" t="s">
        <v>255</v>
      </c>
      <c r="Q392" s="2">
        <v>764</v>
      </c>
      <c r="R392" s="2">
        <v>156</v>
      </c>
      <c r="S392">
        <v>5</v>
      </c>
    </row>
    <row r="393" spans="16:19" x14ac:dyDescent="0.25">
      <c r="P393" s="5" t="s">
        <v>322</v>
      </c>
      <c r="Q393" s="2">
        <v>71</v>
      </c>
      <c r="R393" s="2">
        <v>32</v>
      </c>
      <c r="S393">
        <v>1</v>
      </c>
    </row>
    <row r="394" spans="16:19" x14ac:dyDescent="0.25">
      <c r="P394" s="5" t="s">
        <v>69</v>
      </c>
      <c r="Q394" s="2">
        <v>291</v>
      </c>
      <c r="R394" s="2">
        <v>48</v>
      </c>
      <c r="S394">
        <v>3</v>
      </c>
    </row>
    <row r="395" spans="16:19" x14ac:dyDescent="0.25">
      <c r="P395" s="5" t="s">
        <v>415</v>
      </c>
      <c r="Q395" s="2">
        <v>141</v>
      </c>
      <c r="R395" s="2">
        <v>41</v>
      </c>
      <c r="S395">
        <v>1</v>
      </c>
    </row>
    <row r="396" spans="16:19" x14ac:dyDescent="0.25">
      <c r="P396" s="5" t="s">
        <v>164</v>
      </c>
      <c r="Q396" s="2">
        <v>6026</v>
      </c>
      <c r="R396" s="2">
        <v>864</v>
      </c>
      <c r="S396">
        <v>7</v>
      </c>
    </row>
    <row r="397" spans="16:19" x14ac:dyDescent="0.25">
      <c r="P397" s="5" t="s">
        <v>311</v>
      </c>
      <c r="Q397" s="2">
        <v>196</v>
      </c>
      <c r="R397" s="2">
        <v>-7</v>
      </c>
      <c r="S397">
        <v>1</v>
      </c>
    </row>
    <row r="398" spans="16:19" x14ac:dyDescent="0.25">
      <c r="P398" s="5" t="s">
        <v>92</v>
      </c>
      <c r="Q398" s="2">
        <v>1314</v>
      </c>
      <c r="R398" s="2">
        <v>342</v>
      </c>
      <c r="S398">
        <v>1</v>
      </c>
    </row>
    <row r="399" spans="16:19" x14ac:dyDescent="0.25">
      <c r="P399" s="5" t="s">
        <v>173</v>
      </c>
      <c r="Q399" s="2">
        <v>1165</v>
      </c>
      <c r="R399" s="2">
        <v>275</v>
      </c>
      <c r="S399">
        <v>7</v>
      </c>
    </row>
    <row r="400" spans="16:19" x14ac:dyDescent="0.25">
      <c r="P400" s="5" t="s">
        <v>321</v>
      </c>
      <c r="Q400" s="2">
        <v>2587</v>
      </c>
      <c r="R400" s="2">
        <v>247</v>
      </c>
      <c r="S400">
        <v>4</v>
      </c>
    </row>
    <row r="401" spans="16:19" x14ac:dyDescent="0.25">
      <c r="P401" s="5" t="s">
        <v>303</v>
      </c>
      <c r="Q401" s="2">
        <v>50</v>
      </c>
      <c r="R401" s="2">
        <v>-28</v>
      </c>
      <c r="S401">
        <v>1</v>
      </c>
    </row>
    <row r="402" spans="16:19" x14ac:dyDescent="0.25">
      <c r="P402" s="5" t="s">
        <v>292</v>
      </c>
      <c r="Q402" s="2">
        <v>2342</v>
      </c>
      <c r="R402" s="2">
        <v>420</v>
      </c>
      <c r="S402">
        <v>11</v>
      </c>
    </row>
    <row r="403" spans="16:19" x14ac:dyDescent="0.25">
      <c r="P403" s="5" t="s">
        <v>192</v>
      </c>
      <c r="Q403" s="2">
        <v>1316</v>
      </c>
      <c r="R403" s="2">
        <v>234</v>
      </c>
      <c r="S403">
        <v>3</v>
      </c>
    </row>
    <row r="404" spans="16:19" x14ac:dyDescent="0.25">
      <c r="P404" s="5" t="s">
        <v>49</v>
      </c>
      <c r="Q404" s="2">
        <v>220</v>
      </c>
      <c r="R404" s="2">
        <v>9</v>
      </c>
      <c r="S404">
        <v>4</v>
      </c>
    </row>
    <row r="405" spans="16:19" x14ac:dyDescent="0.25">
      <c r="P405" s="5" t="s">
        <v>301</v>
      </c>
      <c r="Q405" s="2">
        <v>681</v>
      </c>
      <c r="R405" s="2">
        <v>128</v>
      </c>
      <c r="S405">
        <v>5</v>
      </c>
    </row>
    <row r="406" spans="16:19" x14ac:dyDescent="0.25">
      <c r="P406" s="5" t="s">
        <v>60</v>
      </c>
      <c r="Q406" s="2">
        <v>3548</v>
      </c>
      <c r="R406" s="2">
        <v>117</v>
      </c>
      <c r="S406">
        <v>8</v>
      </c>
    </row>
    <row r="407" spans="16:19" x14ac:dyDescent="0.25">
      <c r="P407" s="5" t="s">
        <v>327</v>
      </c>
      <c r="Q407" s="2">
        <v>309</v>
      </c>
      <c r="R407" s="2">
        <v>117</v>
      </c>
      <c r="S407">
        <v>2</v>
      </c>
    </row>
    <row r="408" spans="16:19" x14ac:dyDescent="0.25">
      <c r="P408" s="5" t="s">
        <v>398</v>
      </c>
      <c r="Q408" s="2">
        <v>87</v>
      </c>
      <c r="R408" s="2">
        <v>10</v>
      </c>
      <c r="S408">
        <v>1</v>
      </c>
    </row>
    <row r="409" spans="16:19" x14ac:dyDescent="0.25">
      <c r="P409" s="5" t="s">
        <v>98</v>
      </c>
      <c r="Q409" s="2">
        <v>1301</v>
      </c>
      <c r="R409" s="2">
        <v>573</v>
      </c>
      <c r="S409">
        <v>1</v>
      </c>
    </row>
    <row r="410" spans="16:19" x14ac:dyDescent="0.25">
      <c r="P410" s="5" t="s">
        <v>244</v>
      </c>
      <c r="Q410" s="2">
        <v>311</v>
      </c>
      <c r="R410" s="2">
        <v>72</v>
      </c>
      <c r="S410">
        <v>1</v>
      </c>
    </row>
    <row r="411" spans="16:19" x14ac:dyDescent="0.25">
      <c r="P411" s="5" t="s">
        <v>332</v>
      </c>
      <c r="Q411" s="2">
        <v>484</v>
      </c>
      <c r="R411" s="2">
        <v>78</v>
      </c>
      <c r="S411">
        <v>4</v>
      </c>
    </row>
    <row r="412" spans="16:19" x14ac:dyDescent="0.25">
      <c r="P412" s="5" t="s">
        <v>256</v>
      </c>
      <c r="Q412" s="2">
        <v>480</v>
      </c>
      <c r="R412" s="2">
        <v>140</v>
      </c>
      <c r="S412">
        <v>2</v>
      </c>
    </row>
    <row r="413" spans="16:19" x14ac:dyDescent="0.25">
      <c r="P413" s="5" t="s">
        <v>299</v>
      </c>
      <c r="Q413" s="2">
        <v>890</v>
      </c>
      <c r="R413" s="2">
        <v>34</v>
      </c>
      <c r="S413">
        <v>6</v>
      </c>
    </row>
    <row r="414" spans="16:19" x14ac:dyDescent="0.25">
      <c r="P414" s="5" t="s">
        <v>442</v>
      </c>
      <c r="Q414" s="2">
        <v>93</v>
      </c>
      <c r="R414" s="2">
        <v>44</v>
      </c>
      <c r="S414">
        <v>1</v>
      </c>
    </row>
    <row r="415" spans="16:19" x14ac:dyDescent="0.25">
      <c r="P415" s="5" t="s">
        <v>455</v>
      </c>
      <c r="Q415" s="2">
        <v>199</v>
      </c>
      <c r="R415" s="2">
        <v>8</v>
      </c>
      <c r="S415">
        <v>1</v>
      </c>
    </row>
    <row r="416" spans="16:19" x14ac:dyDescent="0.25">
      <c r="P416" s="5" t="s">
        <v>499</v>
      </c>
      <c r="Q416" s="2">
        <v>29</v>
      </c>
      <c r="R416" s="2">
        <v>-10</v>
      </c>
      <c r="S416">
        <v>1</v>
      </c>
    </row>
    <row r="417" spans="16:19" x14ac:dyDescent="0.25">
      <c r="P417" s="5" t="s">
        <v>261</v>
      </c>
      <c r="Q417" s="2">
        <v>684</v>
      </c>
      <c r="R417" s="2">
        <v>136</v>
      </c>
      <c r="S417">
        <v>2</v>
      </c>
    </row>
    <row r="418" spans="16:19" x14ac:dyDescent="0.25">
      <c r="P418" s="5" t="s">
        <v>490</v>
      </c>
      <c r="Q418" s="2">
        <v>128</v>
      </c>
      <c r="R418" s="2">
        <v>55</v>
      </c>
      <c r="S418">
        <v>1</v>
      </c>
    </row>
    <row r="419" spans="16:19" x14ac:dyDescent="0.25">
      <c r="P419" s="5" t="s">
        <v>212</v>
      </c>
      <c r="Q419" s="2">
        <v>839</v>
      </c>
      <c r="R419" s="2">
        <v>61</v>
      </c>
      <c r="S419">
        <v>4</v>
      </c>
    </row>
    <row r="420" spans="16:19" x14ac:dyDescent="0.25">
      <c r="P420" s="5" t="s">
        <v>410</v>
      </c>
      <c r="Q420" s="2">
        <v>78</v>
      </c>
      <c r="R420" s="2">
        <v>7</v>
      </c>
      <c r="S420">
        <v>1</v>
      </c>
    </row>
    <row r="421" spans="16:19" x14ac:dyDescent="0.25">
      <c r="P421" s="5" t="s">
        <v>309</v>
      </c>
      <c r="Q421" s="2">
        <v>387</v>
      </c>
      <c r="R421" s="2">
        <v>115</v>
      </c>
      <c r="S421">
        <v>2</v>
      </c>
    </row>
    <row r="422" spans="16:19" x14ac:dyDescent="0.25">
      <c r="P422" s="5" t="s">
        <v>168</v>
      </c>
      <c r="Q422" s="2">
        <v>585</v>
      </c>
      <c r="R422" s="2">
        <v>175</v>
      </c>
      <c r="S422">
        <v>1</v>
      </c>
    </row>
    <row r="423" spans="16:19" x14ac:dyDescent="0.25">
      <c r="P423" s="5" t="s">
        <v>296</v>
      </c>
      <c r="Q423" s="2">
        <v>319</v>
      </c>
      <c r="R423" s="2">
        <v>102</v>
      </c>
      <c r="S423">
        <v>1</v>
      </c>
    </row>
    <row r="424" spans="16:19" x14ac:dyDescent="0.25">
      <c r="P424" s="5" t="s">
        <v>153</v>
      </c>
      <c r="Q424" s="2">
        <v>192</v>
      </c>
      <c r="R424" s="2">
        <v>68</v>
      </c>
      <c r="S424">
        <v>3</v>
      </c>
    </row>
    <row r="425" spans="16:19" x14ac:dyDescent="0.25">
      <c r="P425" s="5" t="s">
        <v>58</v>
      </c>
      <c r="Q425" s="2">
        <v>1824</v>
      </c>
      <c r="R425" s="2">
        <v>1303</v>
      </c>
      <c r="S425">
        <v>1</v>
      </c>
    </row>
    <row r="426" spans="16:19" x14ac:dyDescent="0.25">
      <c r="P426" s="5" t="s">
        <v>285</v>
      </c>
      <c r="Q426" s="2">
        <v>1271</v>
      </c>
      <c r="R426" s="2">
        <v>490</v>
      </c>
      <c r="S426">
        <v>4</v>
      </c>
    </row>
    <row r="427" spans="16:19" x14ac:dyDescent="0.25">
      <c r="P427" s="5" t="s">
        <v>428</v>
      </c>
      <c r="Q427" s="2">
        <v>168</v>
      </c>
      <c r="R427" s="2">
        <v>18</v>
      </c>
      <c r="S427">
        <v>1</v>
      </c>
    </row>
    <row r="428" spans="16:19" x14ac:dyDescent="0.25">
      <c r="P428" s="5" t="s">
        <v>263</v>
      </c>
      <c r="Q428" s="2">
        <v>228</v>
      </c>
      <c r="R428" s="2">
        <v>25</v>
      </c>
      <c r="S428">
        <v>3</v>
      </c>
    </row>
    <row r="429" spans="16:19" x14ac:dyDescent="0.25">
      <c r="P429" s="5" t="s">
        <v>270</v>
      </c>
      <c r="Q429" s="2">
        <v>280</v>
      </c>
      <c r="R429" s="2">
        <v>78</v>
      </c>
      <c r="S429">
        <v>2</v>
      </c>
    </row>
    <row r="430" spans="16:19" x14ac:dyDescent="0.25">
      <c r="P430" s="5" t="s">
        <v>452</v>
      </c>
      <c r="Q430" s="2">
        <v>54</v>
      </c>
      <c r="R430" s="2">
        <v>8</v>
      </c>
      <c r="S430">
        <v>1</v>
      </c>
    </row>
    <row r="431" spans="16:19" x14ac:dyDescent="0.25">
      <c r="P431" s="5" t="s">
        <v>204</v>
      </c>
      <c r="Q431" s="2">
        <v>1464</v>
      </c>
      <c r="R431" s="2">
        <v>583</v>
      </c>
      <c r="S431">
        <v>3</v>
      </c>
    </row>
    <row r="432" spans="16:19" x14ac:dyDescent="0.25">
      <c r="P432" s="5" t="s">
        <v>156</v>
      </c>
      <c r="Q432" s="2">
        <v>21</v>
      </c>
      <c r="R432" s="2">
        <v>10</v>
      </c>
      <c r="S432">
        <v>1</v>
      </c>
    </row>
    <row r="433" spans="16:19" x14ac:dyDescent="0.25">
      <c r="P433" s="5" t="s">
        <v>254</v>
      </c>
      <c r="Q433" s="2">
        <v>754</v>
      </c>
      <c r="R433" s="2">
        <v>199</v>
      </c>
      <c r="S433">
        <v>6</v>
      </c>
    </row>
    <row r="434" spans="16:19" x14ac:dyDescent="0.25">
      <c r="P434" s="5" t="s">
        <v>316</v>
      </c>
      <c r="Q434" s="2">
        <v>67</v>
      </c>
      <c r="R434" s="2">
        <v>9</v>
      </c>
      <c r="S434">
        <v>1</v>
      </c>
    </row>
    <row r="435" spans="16:19" x14ac:dyDescent="0.25">
      <c r="P435" s="5" t="s">
        <v>283</v>
      </c>
      <c r="Q435" s="2">
        <v>47</v>
      </c>
      <c r="R435" s="2">
        <v>15</v>
      </c>
      <c r="S435">
        <v>1</v>
      </c>
    </row>
    <row r="436" spans="16:19" x14ac:dyDescent="0.25">
      <c r="P436" s="5" t="s">
        <v>124</v>
      </c>
      <c r="Q436" s="2">
        <v>1028</v>
      </c>
      <c r="R436" s="2">
        <v>237</v>
      </c>
      <c r="S436">
        <v>3</v>
      </c>
    </row>
    <row r="437" spans="16:19" x14ac:dyDescent="0.25">
      <c r="P437" s="5" t="s">
        <v>492</v>
      </c>
      <c r="Q437" s="2">
        <v>425</v>
      </c>
      <c r="R437" s="2">
        <v>183</v>
      </c>
      <c r="S437">
        <v>1</v>
      </c>
    </row>
    <row r="438" spans="16:19" x14ac:dyDescent="0.25">
      <c r="P438" s="5" t="s">
        <v>231</v>
      </c>
      <c r="Q438" s="2">
        <v>1180</v>
      </c>
      <c r="R438" s="2">
        <v>285</v>
      </c>
      <c r="S438">
        <v>3</v>
      </c>
    </row>
    <row r="439" spans="16:19" x14ac:dyDescent="0.25">
      <c r="P439" s="5" t="s">
        <v>477</v>
      </c>
      <c r="Q439" s="2">
        <v>341</v>
      </c>
      <c r="R439" s="2">
        <v>44</v>
      </c>
      <c r="S439">
        <v>1</v>
      </c>
    </row>
    <row r="440" spans="16:19" x14ac:dyDescent="0.25">
      <c r="P440" s="5" t="s">
        <v>362</v>
      </c>
      <c r="Q440" s="2">
        <v>171</v>
      </c>
      <c r="R440" s="2">
        <v>68</v>
      </c>
      <c r="S440">
        <v>1</v>
      </c>
    </row>
    <row r="441" spans="16:19" x14ac:dyDescent="0.25">
      <c r="P441" s="5" t="s">
        <v>260</v>
      </c>
      <c r="Q441" s="2">
        <v>253</v>
      </c>
      <c r="R441" s="2">
        <v>100</v>
      </c>
      <c r="S441">
        <v>4</v>
      </c>
    </row>
    <row r="442" spans="16:19" x14ac:dyDescent="0.25">
      <c r="P442" s="5" t="s">
        <v>338</v>
      </c>
      <c r="Q442" s="2">
        <v>83</v>
      </c>
      <c r="R442" s="2">
        <v>34</v>
      </c>
      <c r="S442">
        <v>1</v>
      </c>
    </row>
    <row r="443" spans="16:19" x14ac:dyDescent="0.25">
      <c r="P443" s="5" t="s">
        <v>361</v>
      </c>
      <c r="Q443" s="2">
        <v>984</v>
      </c>
      <c r="R443" s="2">
        <v>126</v>
      </c>
      <c r="S443">
        <v>3</v>
      </c>
    </row>
    <row r="444" spans="16:19" x14ac:dyDescent="0.25">
      <c r="P444" s="5" t="s">
        <v>318</v>
      </c>
      <c r="Q444" s="2">
        <v>176</v>
      </c>
      <c r="R444" s="2">
        <v>-28</v>
      </c>
      <c r="S444">
        <v>1</v>
      </c>
    </row>
    <row r="445" spans="16:19" x14ac:dyDescent="0.25">
      <c r="P445" s="5" t="s">
        <v>331</v>
      </c>
      <c r="Q445" s="2">
        <v>36</v>
      </c>
      <c r="R445" s="2">
        <v>15</v>
      </c>
      <c r="S445">
        <v>1</v>
      </c>
    </row>
    <row r="446" spans="16:19" x14ac:dyDescent="0.25">
      <c r="P446" s="5" t="s">
        <v>329</v>
      </c>
      <c r="Q446" s="2">
        <v>478</v>
      </c>
      <c r="R446" s="2">
        <v>143</v>
      </c>
      <c r="S446">
        <v>5</v>
      </c>
    </row>
    <row r="447" spans="16:19" x14ac:dyDescent="0.25">
      <c r="P447" s="5" t="s">
        <v>504</v>
      </c>
      <c r="Q447" s="2">
        <v>28</v>
      </c>
      <c r="R447" s="2">
        <v>-10</v>
      </c>
      <c r="S447">
        <v>1</v>
      </c>
    </row>
    <row r="448" spans="16:19" x14ac:dyDescent="0.25">
      <c r="P448" s="5" t="s">
        <v>275</v>
      </c>
      <c r="Q448" s="2">
        <v>884</v>
      </c>
      <c r="R448" s="2">
        <v>157</v>
      </c>
      <c r="S448">
        <v>4</v>
      </c>
    </row>
    <row r="449" spans="16:19" x14ac:dyDescent="0.25">
      <c r="P449" s="5" t="s">
        <v>494</v>
      </c>
      <c r="Q449" s="2">
        <v>32</v>
      </c>
      <c r="R449" s="2">
        <v>3</v>
      </c>
      <c r="S449">
        <v>1</v>
      </c>
    </row>
    <row r="450" spans="16:19" x14ac:dyDescent="0.25">
      <c r="P450" s="5" t="s">
        <v>447</v>
      </c>
      <c r="Q450" s="2">
        <v>55</v>
      </c>
      <c r="R450" s="2">
        <v>12</v>
      </c>
      <c r="S450">
        <v>1</v>
      </c>
    </row>
    <row r="451" spans="16:19" x14ac:dyDescent="0.25">
      <c r="P451" s="5" t="s">
        <v>55</v>
      </c>
      <c r="Q451" s="2">
        <v>3129</v>
      </c>
      <c r="R451" s="2">
        <v>505</v>
      </c>
      <c r="S451">
        <v>4</v>
      </c>
    </row>
    <row r="452" spans="16:19" x14ac:dyDescent="0.25">
      <c r="P452" s="5" t="s">
        <v>446</v>
      </c>
      <c r="Q452" s="2">
        <v>100</v>
      </c>
      <c r="R452" s="2">
        <v>28</v>
      </c>
      <c r="S452">
        <v>1</v>
      </c>
    </row>
    <row r="453" spans="16:19" x14ac:dyDescent="0.25">
      <c r="P453" s="5" t="s">
        <v>230</v>
      </c>
      <c r="Q453" s="2">
        <v>1962</v>
      </c>
      <c r="R453" s="2">
        <v>440</v>
      </c>
      <c r="S453">
        <v>9</v>
      </c>
    </row>
    <row r="454" spans="16:19" x14ac:dyDescent="0.25">
      <c r="P454" s="5" t="s">
        <v>88</v>
      </c>
      <c r="Q454" s="2">
        <v>4719</v>
      </c>
      <c r="R454" s="2">
        <v>702</v>
      </c>
      <c r="S454">
        <v>10</v>
      </c>
    </row>
    <row r="455" spans="16:19" x14ac:dyDescent="0.25">
      <c r="P455" s="5" t="s">
        <v>122</v>
      </c>
      <c r="Q455" s="2">
        <v>1286</v>
      </c>
      <c r="R455" s="2">
        <v>189</v>
      </c>
      <c r="S455">
        <v>7</v>
      </c>
    </row>
    <row r="456" spans="16:19" x14ac:dyDescent="0.25">
      <c r="P456" s="5" t="s">
        <v>167</v>
      </c>
      <c r="Q456" s="2">
        <v>1769</v>
      </c>
      <c r="R456" s="2">
        <v>454</v>
      </c>
      <c r="S456">
        <v>9</v>
      </c>
    </row>
    <row r="457" spans="16:19" x14ac:dyDescent="0.25">
      <c r="P457" s="5" t="s">
        <v>273</v>
      </c>
      <c r="Q457" s="2">
        <v>1553</v>
      </c>
      <c r="R457" s="2">
        <v>54</v>
      </c>
      <c r="S457">
        <v>8</v>
      </c>
    </row>
    <row r="458" spans="16:19" x14ac:dyDescent="0.25">
      <c r="P458" s="5" t="s">
        <v>11</v>
      </c>
      <c r="Q458" s="2">
        <v>9902</v>
      </c>
      <c r="R458" s="2">
        <v>-157</v>
      </c>
      <c r="S458">
        <v>9</v>
      </c>
    </row>
    <row r="459" spans="16:19" x14ac:dyDescent="0.25">
      <c r="P459" s="5" t="s">
        <v>211</v>
      </c>
      <c r="Q459" s="2">
        <v>1770</v>
      </c>
      <c r="R459" s="2">
        <v>225</v>
      </c>
      <c r="S459">
        <v>12</v>
      </c>
    </row>
    <row r="460" spans="16:19" x14ac:dyDescent="0.25">
      <c r="P460" s="5" t="s">
        <v>207</v>
      </c>
      <c r="Q460" s="2">
        <v>1673</v>
      </c>
      <c r="R460" s="2">
        <v>404</v>
      </c>
      <c r="S460">
        <v>4</v>
      </c>
    </row>
    <row r="461" spans="16:19" x14ac:dyDescent="0.25">
      <c r="P461" s="5" t="s">
        <v>503</v>
      </c>
      <c r="Q461" s="2">
        <v>212</v>
      </c>
      <c r="R461" s="2">
        <v>97</v>
      </c>
      <c r="S461">
        <v>1</v>
      </c>
    </row>
    <row r="462" spans="16:19" x14ac:dyDescent="0.25">
      <c r="P462" s="5" t="s">
        <v>517</v>
      </c>
      <c r="Q462" s="2">
        <v>20</v>
      </c>
      <c r="R462" s="2">
        <v>6</v>
      </c>
      <c r="S462">
        <v>1</v>
      </c>
    </row>
    <row r="463" spans="16:19" x14ac:dyDescent="0.25">
      <c r="P463" s="5" t="s">
        <v>233</v>
      </c>
      <c r="Q463" s="2">
        <v>382</v>
      </c>
      <c r="R463" s="2">
        <v>68</v>
      </c>
      <c r="S463">
        <v>1</v>
      </c>
    </row>
    <row r="464" spans="16:19" x14ac:dyDescent="0.25">
      <c r="P464" s="5" t="s">
        <v>106</v>
      </c>
      <c r="Q464" s="2">
        <v>2457</v>
      </c>
      <c r="R464" s="2">
        <v>387</v>
      </c>
      <c r="S464">
        <v>6</v>
      </c>
    </row>
    <row r="465" spans="16:19" x14ac:dyDescent="0.25">
      <c r="P465" s="5" t="s">
        <v>137</v>
      </c>
      <c r="Q465" s="2">
        <v>107</v>
      </c>
      <c r="R465" s="2">
        <v>-59</v>
      </c>
      <c r="S465">
        <v>3</v>
      </c>
    </row>
    <row r="466" spans="16:19" x14ac:dyDescent="0.25">
      <c r="P466" s="5" t="s">
        <v>282</v>
      </c>
      <c r="Q466" s="2">
        <v>241</v>
      </c>
      <c r="R466" s="2">
        <v>-77</v>
      </c>
      <c r="S466">
        <v>1</v>
      </c>
    </row>
    <row r="467" spans="16:19" x14ac:dyDescent="0.25">
      <c r="P467" s="5" t="s">
        <v>228</v>
      </c>
      <c r="Q467" s="2">
        <v>437</v>
      </c>
      <c r="R467" s="2">
        <v>43</v>
      </c>
      <c r="S467">
        <v>4</v>
      </c>
    </row>
    <row r="468" spans="16:19" x14ac:dyDescent="0.25">
      <c r="P468" s="5" t="s">
        <v>348</v>
      </c>
      <c r="Q468" s="2">
        <v>146</v>
      </c>
      <c r="R468" s="2">
        <v>19</v>
      </c>
      <c r="S468">
        <v>1</v>
      </c>
    </row>
    <row r="469" spans="16:19" x14ac:dyDescent="0.25">
      <c r="P469" s="5" t="s">
        <v>342</v>
      </c>
      <c r="Q469" s="2">
        <v>86</v>
      </c>
      <c r="R469" s="2">
        <v>22</v>
      </c>
      <c r="S469">
        <v>1</v>
      </c>
    </row>
    <row r="470" spans="16:19" x14ac:dyDescent="0.25">
      <c r="P470" s="5" t="s">
        <v>129</v>
      </c>
      <c r="Q470" s="2">
        <v>2995</v>
      </c>
      <c r="R470" s="2">
        <v>216</v>
      </c>
      <c r="S470">
        <v>5</v>
      </c>
    </row>
    <row r="471" spans="16:19" x14ac:dyDescent="0.25">
      <c r="P471" s="5" t="s">
        <v>453</v>
      </c>
      <c r="Q471" s="2">
        <v>193</v>
      </c>
      <c r="R471" s="2">
        <v>33</v>
      </c>
      <c r="S471">
        <v>1</v>
      </c>
    </row>
    <row r="472" spans="16:19" x14ac:dyDescent="0.25">
      <c r="P472" s="5" t="s">
        <v>450</v>
      </c>
      <c r="Q472" s="2">
        <v>55</v>
      </c>
      <c r="R472" s="2">
        <v>18</v>
      </c>
      <c r="S472">
        <v>1</v>
      </c>
    </row>
    <row r="473" spans="16:19" x14ac:dyDescent="0.25">
      <c r="P473" s="5" t="s">
        <v>169</v>
      </c>
      <c r="Q473" s="2">
        <v>725</v>
      </c>
      <c r="R473" s="2">
        <v>310</v>
      </c>
      <c r="S473">
        <v>4</v>
      </c>
    </row>
    <row r="474" spans="16:19" x14ac:dyDescent="0.25">
      <c r="P474" s="5" t="s">
        <v>520</v>
      </c>
      <c r="Q474" s="2">
        <v>21</v>
      </c>
      <c r="R474" s="2">
        <v>4</v>
      </c>
      <c r="S474">
        <v>1</v>
      </c>
    </row>
    <row r="475" spans="16:19" x14ac:dyDescent="0.25">
      <c r="P475" s="5" t="s">
        <v>463</v>
      </c>
      <c r="Q475" s="2">
        <v>313</v>
      </c>
      <c r="R475" s="2">
        <v>44</v>
      </c>
      <c r="S475">
        <v>1</v>
      </c>
    </row>
    <row r="476" spans="16:19" x14ac:dyDescent="0.25">
      <c r="P476" s="5" t="s">
        <v>253</v>
      </c>
      <c r="Q476" s="2">
        <v>1992</v>
      </c>
      <c r="R476" s="2">
        <v>889</v>
      </c>
      <c r="S476">
        <v>5</v>
      </c>
    </row>
    <row r="477" spans="16:19" x14ac:dyDescent="0.25">
      <c r="P477" s="5" t="s">
        <v>443</v>
      </c>
      <c r="Q477" s="2">
        <v>57</v>
      </c>
      <c r="R477" s="2">
        <v>21</v>
      </c>
      <c r="S477">
        <v>1</v>
      </c>
    </row>
    <row r="478" spans="16:19" x14ac:dyDescent="0.25">
      <c r="P478" s="5" t="s">
        <v>488</v>
      </c>
      <c r="Q478" s="2">
        <v>34</v>
      </c>
      <c r="R478" s="2">
        <v>12</v>
      </c>
      <c r="S478">
        <v>1</v>
      </c>
    </row>
    <row r="479" spans="16:19" x14ac:dyDescent="0.25">
      <c r="P479" s="5" t="s">
        <v>294</v>
      </c>
      <c r="Q479" s="2">
        <v>953</v>
      </c>
      <c r="R479" s="2">
        <v>-105</v>
      </c>
      <c r="S479">
        <v>5</v>
      </c>
    </row>
    <row r="480" spans="16:19" x14ac:dyDescent="0.25">
      <c r="P480" s="5" t="s">
        <v>479</v>
      </c>
      <c r="Q480" s="2">
        <v>62</v>
      </c>
      <c r="R480" s="2">
        <v>11</v>
      </c>
      <c r="S480">
        <v>1</v>
      </c>
    </row>
    <row r="481" spans="16:19" x14ac:dyDescent="0.25">
      <c r="P481" s="5" t="s">
        <v>174</v>
      </c>
      <c r="Q481" s="2">
        <v>755</v>
      </c>
      <c r="R481" s="2">
        <v>-20</v>
      </c>
      <c r="S481">
        <v>4</v>
      </c>
    </row>
    <row r="482" spans="16:19" x14ac:dyDescent="0.25">
      <c r="P482" s="5" t="s">
        <v>110</v>
      </c>
      <c r="Q482" s="2">
        <v>18</v>
      </c>
      <c r="R482" s="2">
        <v>3</v>
      </c>
      <c r="S482">
        <v>1</v>
      </c>
    </row>
    <row r="483" spans="16:19" x14ac:dyDescent="0.25">
      <c r="P483" s="5" t="s">
        <v>454</v>
      </c>
      <c r="Q483" s="2">
        <v>109</v>
      </c>
      <c r="R483" s="2">
        <v>35</v>
      </c>
      <c r="S483">
        <v>1</v>
      </c>
    </row>
    <row r="484" spans="16:19" x14ac:dyDescent="0.25">
      <c r="P484" s="5" t="s">
        <v>200</v>
      </c>
      <c r="Q484" s="2">
        <v>1361</v>
      </c>
      <c r="R484" s="2">
        <v>-328</v>
      </c>
      <c r="S484">
        <v>6</v>
      </c>
    </row>
    <row r="485" spans="16:19" x14ac:dyDescent="0.25">
      <c r="P485" s="5" t="s">
        <v>354</v>
      </c>
      <c r="Q485" s="2">
        <v>95</v>
      </c>
      <c r="R485" s="2">
        <v>5</v>
      </c>
      <c r="S485">
        <v>1</v>
      </c>
    </row>
    <row r="486" spans="16:19" x14ac:dyDescent="0.25">
      <c r="P486" s="5" t="s">
        <v>297</v>
      </c>
      <c r="Q486" s="2">
        <v>410</v>
      </c>
      <c r="R486" s="2">
        <v>50</v>
      </c>
      <c r="S486">
        <v>5</v>
      </c>
    </row>
    <row r="487" spans="16:19" x14ac:dyDescent="0.25">
      <c r="P487" s="5" t="s">
        <v>302</v>
      </c>
      <c r="Q487" s="2">
        <v>209</v>
      </c>
      <c r="R487" s="2">
        <v>-63</v>
      </c>
      <c r="S487">
        <v>1</v>
      </c>
    </row>
    <row r="488" spans="16:19" x14ac:dyDescent="0.25">
      <c r="P488" s="5" t="s">
        <v>83</v>
      </c>
      <c r="Q488" s="2">
        <v>1745</v>
      </c>
      <c r="R488" s="2">
        <v>653</v>
      </c>
      <c r="S488">
        <v>4</v>
      </c>
    </row>
    <row r="489" spans="16:19" x14ac:dyDescent="0.25">
      <c r="P489" s="5" t="s">
        <v>126</v>
      </c>
      <c r="Q489" s="2">
        <v>830</v>
      </c>
      <c r="R489" s="2">
        <v>120</v>
      </c>
      <c r="S489">
        <v>3</v>
      </c>
    </row>
    <row r="490" spans="16:19" x14ac:dyDescent="0.25">
      <c r="P490" s="5" t="s">
        <v>194</v>
      </c>
      <c r="Q490" s="2">
        <v>696</v>
      </c>
      <c r="R490" s="2">
        <v>119</v>
      </c>
      <c r="S490">
        <v>5</v>
      </c>
    </row>
    <row r="491" spans="16:19" x14ac:dyDescent="0.25">
      <c r="P491" s="5" t="s">
        <v>245</v>
      </c>
      <c r="Q491" s="2">
        <v>11</v>
      </c>
      <c r="R491" s="2">
        <v>5</v>
      </c>
      <c r="S491">
        <v>1</v>
      </c>
    </row>
    <row r="492" spans="16:19" x14ac:dyDescent="0.25">
      <c r="P492" s="5" t="s">
        <v>238</v>
      </c>
      <c r="Q492" s="2">
        <v>225</v>
      </c>
      <c r="R492" s="2">
        <v>42</v>
      </c>
      <c r="S492">
        <v>3</v>
      </c>
    </row>
    <row r="493" spans="16:19" x14ac:dyDescent="0.25">
      <c r="P493" s="5" t="s">
        <v>462</v>
      </c>
      <c r="Q493" s="2">
        <v>80</v>
      </c>
      <c r="R493" s="2">
        <v>22</v>
      </c>
      <c r="S493">
        <v>1</v>
      </c>
    </row>
    <row r="494" spans="16:19" x14ac:dyDescent="0.25">
      <c r="P494" s="5" t="s">
        <v>323</v>
      </c>
      <c r="Q494" s="2">
        <v>246</v>
      </c>
      <c r="R494" s="2">
        <v>89</v>
      </c>
      <c r="S494">
        <v>3</v>
      </c>
    </row>
    <row r="495" spans="16:19" x14ac:dyDescent="0.25">
      <c r="P495" s="5" t="s">
        <v>441</v>
      </c>
      <c r="Q495" s="2">
        <v>97</v>
      </c>
      <c r="R495" s="2">
        <v>14</v>
      </c>
      <c r="S495">
        <v>1</v>
      </c>
    </row>
    <row r="496" spans="16:19" x14ac:dyDescent="0.25">
      <c r="P496" s="5" t="s">
        <v>17</v>
      </c>
      <c r="Q496" s="2">
        <v>4502</v>
      </c>
      <c r="R496" s="2">
        <v>938</v>
      </c>
      <c r="S496">
        <v>7</v>
      </c>
    </row>
    <row r="497" spans="16:19" x14ac:dyDescent="0.25">
      <c r="P497" s="5" t="s">
        <v>335</v>
      </c>
      <c r="Q497" s="2">
        <v>152</v>
      </c>
      <c r="R497" s="2">
        <v>50</v>
      </c>
      <c r="S497">
        <v>1</v>
      </c>
    </row>
    <row r="498" spans="16:19" x14ac:dyDescent="0.25">
      <c r="P498" s="5" t="s">
        <v>40</v>
      </c>
      <c r="Q498" s="2">
        <v>6</v>
      </c>
      <c r="R498" s="2">
        <v>1</v>
      </c>
      <c r="S498">
        <v>1</v>
      </c>
    </row>
    <row r="499" spans="16:19" x14ac:dyDescent="0.25">
      <c r="P499" s="5" t="s">
        <v>243</v>
      </c>
      <c r="Q499" s="2">
        <v>1091</v>
      </c>
      <c r="R499" s="2">
        <v>121</v>
      </c>
      <c r="S499">
        <v>6</v>
      </c>
    </row>
    <row r="500" spans="16:19" x14ac:dyDescent="0.25">
      <c r="P500" s="5" t="s">
        <v>61</v>
      </c>
      <c r="Q500" s="2">
        <v>1688</v>
      </c>
      <c r="R500" s="2">
        <v>-540</v>
      </c>
      <c r="S500">
        <v>7</v>
      </c>
    </row>
    <row r="501" spans="16:19" x14ac:dyDescent="0.25">
      <c r="P501" s="5" t="s">
        <v>128</v>
      </c>
      <c r="Q501" s="2">
        <v>1189</v>
      </c>
      <c r="R501" s="2">
        <v>254</v>
      </c>
      <c r="S501">
        <v>6</v>
      </c>
    </row>
    <row r="502" spans="16:19" x14ac:dyDescent="0.25">
      <c r="P502" s="5" t="s">
        <v>458</v>
      </c>
      <c r="Q502" s="2">
        <v>3417</v>
      </c>
      <c r="R502" s="2">
        <v>859</v>
      </c>
      <c r="S502">
        <v>4</v>
      </c>
    </row>
    <row r="503" spans="16:19" x14ac:dyDescent="0.25">
      <c r="P503" s="5" t="s">
        <v>116</v>
      </c>
      <c r="Q503" s="2">
        <v>934</v>
      </c>
      <c r="R503" s="2">
        <v>256</v>
      </c>
      <c r="S503">
        <v>3</v>
      </c>
    </row>
    <row r="504" spans="16:19" x14ac:dyDescent="0.25">
      <c r="P504" s="5" t="s">
        <v>543</v>
      </c>
      <c r="Q504" s="2">
        <v>437771</v>
      </c>
      <c r="R504" s="2">
        <v>36963</v>
      </c>
      <c r="S504">
        <v>1500</v>
      </c>
    </row>
  </sheetData>
  <conditionalFormatting pivot="1" sqref="E4:E20">
    <cfRule type="cellIs" dxfId="2" priority="7" operator="lessThan">
      <formula>0</formula>
    </cfRule>
  </conditionalFormatting>
  <conditionalFormatting pivot="1" sqref="C4:C20">
    <cfRule type="cellIs" dxfId="1" priority="6" operator="lessThan">
      <formula>0</formula>
    </cfRule>
  </conditionalFormatting>
  <conditionalFormatting pivot="1" sqref="J13:J15">
    <cfRule type="colorScale" priority="5">
      <colorScale>
        <cfvo type="min"/>
        <cfvo type="max"/>
        <color rgb="FFFFEF9C"/>
        <color rgb="FF63BE7B"/>
      </colorScale>
    </cfRule>
  </conditionalFormatting>
  <conditionalFormatting pivot="1" sqref="K13:K15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L13:L15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I13:I15">
    <cfRule type="colorScale" priority="2">
      <colorScale>
        <cfvo type="min"/>
        <cfvo type="max"/>
        <color rgb="FFFFEF9C"/>
        <color rgb="FF63BE7B"/>
      </colorScale>
    </cfRule>
  </conditionalFormatting>
  <conditionalFormatting sqref="C3">
    <cfRule type="top10" dxfId="0" priority="1" percent="1" rank="2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31E5-F2B9-476C-BB5B-0E86B2C3769E}">
  <dimension ref="A1:G1501"/>
  <sheetViews>
    <sheetView workbookViewId="0">
      <selection activeCell="C7" sqref="C7"/>
    </sheetView>
  </sheetViews>
  <sheetFormatPr defaultRowHeight="15" x14ac:dyDescent="0.25"/>
  <cols>
    <col min="1" max="1" width="10.5703125" customWidth="1"/>
    <col min="2" max="2" width="10" style="2" customWidth="1"/>
    <col min="3" max="3" width="9.140625" style="2"/>
    <col min="4" max="4" width="10.5703125" style="1" customWidth="1"/>
    <col min="5" max="5" width="10.85546875" customWidth="1"/>
    <col min="6" max="6" width="15" customWidth="1"/>
    <col min="7" max="7" width="17" customWidth="1"/>
  </cols>
  <sheetData>
    <row r="1" spans="1:7" x14ac:dyDescent="0.25">
      <c r="A1" t="s">
        <v>0</v>
      </c>
      <c r="B1" s="2" t="s">
        <v>1</v>
      </c>
      <c r="C1" s="2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2">
        <v>1096</v>
      </c>
      <c r="C2" s="2">
        <v>658</v>
      </c>
      <c r="D2" s="1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11</v>
      </c>
      <c r="B3" s="2">
        <v>5729</v>
      </c>
      <c r="C3" s="2">
        <v>64</v>
      </c>
      <c r="D3" s="1">
        <v>14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 s="2">
        <v>2927</v>
      </c>
      <c r="C4" s="2">
        <v>146</v>
      </c>
      <c r="D4" s="1">
        <v>8</v>
      </c>
      <c r="E4" t="s">
        <v>12</v>
      </c>
      <c r="F4" t="s">
        <v>16</v>
      </c>
      <c r="G4" t="s">
        <v>14</v>
      </c>
    </row>
    <row r="5" spans="1:7" x14ac:dyDescent="0.25">
      <c r="A5" t="s">
        <v>17</v>
      </c>
      <c r="B5" s="2">
        <v>2847</v>
      </c>
      <c r="C5" s="2">
        <v>712</v>
      </c>
      <c r="D5" s="1">
        <v>8</v>
      </c>
      <c r="E5" t="s">
        <v>8</v>
      </c>
      <c r="F5" t="s">
        <v>18</v>
      </c>
      <c r="G5" t="s">
        <v>19</v>
      </c>
    </row>
    <row r="6" spans="1:7" x14ac:dyDescent="0.25">
      <c r="A6" t="s">
        <v>20</v>
      </c>
      <c r="B6" s="2">
        <v>2617</v>
      </c>
      <c r="C6" s="2">
        <v>1151</v>
      </c>
      <c r="D6" s="1">
        <v>4</v>
      </c>
      <c r="E6" t="s">
        <v>8</v>
      </c>
      <c r="F6" t="s">
        <v>21</v>
      </c>
      <c r="G6" t="s">
        <v>19</v>
      </c>
    </row>
    <row r="7" spans="1:7" x14ac:dyDescent="0.25">
      <c r="A7" t="s">
        <v>22</v>
      </c>
      <c r="B7" s="2">
        <v>2244</v>
      </c>
      <c r="C7" s="2">
        <v>247</v>
      </c>
      <c r="D7" s="1">
        <v>4</v>
      </c>
      <c r="E7" t="s">
        <v>23</v>
      </c>
      <c r="F7" t="s">
        <v>24</v>
      </c>
      <c r="G7" t="s">
        <v>19</v>
      </c>
    </row>
    <row r="8" spans="1:7" x14ac:dyDescent="0.25">
      <c r="A8" t="s">
        <v>25</v>
      </c>
      <c r="B8" s="2">
        <v>275</v>
      </c>
      <c r="C8" s="2">
        <v>-275</v>
      </c>
      <c r="D8" s="1">
        <v>4</v>
      </c>
      <c r="E8" t="s">
        <v>23</v>
      </c>
      <c r="F8" t="s">
        <v>26</v>
      </c>
      <c r="G8" t="s">
        <v>10</v>
      </c>
    </row>
    <row r="9" spans="1:7" x14ac:dyDescent="0.25">
      <c r="A9" t="s">
        <v>27</v>
      </c>
      <c r="B9" s="2">
        <v>387</v>
      </c>
      <c r="C9" s="2">
        <v>-213</v>
      </c>
      <c r="D9" s="1">
        <v>5</v>
      </c>
      <c r="E9" t="s">
        <v>23</v>
      </c>
      <c r="F9" t="s">
        <v>26</v>
      </c>
      <c r="G9" t="s">
        <v>28</v>
      </c>
    </row>
    <row r="10" spans="1:7" x14ac:dyDescent="0.25">
      <c r="A10" t="s">
        <v>29</v>
      </c>
      <c r="B10" s="2">
        <v>50</v>
      </c>
      <c r="C10" s="2">
        <v>-44</v>
      </c>
      <c r="D10" s="1">
        <v>2</v>
      </c>
      <c r="E10" t="s">
        <v>23</v>
      </c>
      <c r="F10" t="s">
        <v>30</v>
      </c>
      <c r="G10" t="s">
        <v>28</v>
      </c>
    </row>
    <row r="11" spans="1:7" x14ac:dyDescent="0.25">
      <c r="A11" t="s">
        <v>31</v>
      </c>
      <c r="B11" s="2">
        <v>135</v>
      </c>
      <c r="C11" s="2">
        <v>-54</v>
      </c>
      <c r="D11" s="1">
        <v>5</v>
      </c>
      <c r="E11" t="s">
        <v>23</v>
      </c>
      <c r="F11" t="s">
        <v>32</v>
      </c>
      <c r="G11" t="s">
        <v>10</v>
      </c>
    </row>
    <row r="12" spans="1:7" x14ac:dyDescent="0.25">
      <c r="A12" t="s">
        <v>33</v>
      </c>
      <c r="B12" s="2">
        <v>231</v>
      </c>
      <c r="C12" s="2">
        <v>-190</v>
      </c>
      <c r="D12" s="1">
        <v>9</v>
      </c>
      <c r="E12" t="s">
        <v>23</v>
      </c>
      <c r="F12" t="s">
        <v>30</v>
      </c>
      <c r="G12" t="s">
        <v>10</v>
      </c>
    </row>
    <row r="13" spans="1:7" x14ac:dyDescent="0.25">
      <c r="A13" t="s">
        <v>34</v>
      </c>
      <c r="B13" s="2">
        <v>2125</v>
      </c>
      <c r="C13" s="2">
        <v>-234</v>
      </c>
      <c r="D13" s="1">
        <v>6</v>
      </c>
      <c r="E13" t="s">
        <v>8</v>
      </c>
      <c r="F13" t="s">
        <v>18</v>
      </c>
      <c r="G13" t="s">
        <v>14</v>
      </c>
    </row>
    <row r="14" spans="1:7" x14ac:dyDescent="0.25">
      <c r="A14" t="s">
        <v>35</v>
      </c>
      <c r="B14" s="2">
        <v>3873</v>
      </c>
      <c r="C14" s="2">
        <v>-891</v>
      </c>
      <c r="D14" s="1">
        <v>6</v>
      </c>
      <c r="E14" t="s">
        <v>8</v>
      </c>
      <c r="F14" t="s">
        <v>21</v>
      </c>
      <c r="G14" t="s">
        <v>19</v>
      </c>
    </row>
    <row r="15" spans="1:7" x14ac:dyDescent="0.25">
      <c r="A15" t="s">
        <v>36</v>
      </c>
      <c r="B15" s="2">
        <v>729</v>
      </c>
      <c r="C15" s="2">
        <v>-492</v>
      </c>
      <c r="D15" s="1">
        <v>5</v>
      </c>
      <c r="E15" t="s">
        <v>12</v>
      </c>
      <c r="F15" t="s">
        <v>16</v>
      </c>
      <c r="G15" t="s">
        <v>28</v>
      </c>
    </row>
    <row r="16" spans="1:7" x14ac:dyDescent="0.25">
      <c r="A16" t="s">
        <v>37</v>
      </c>
      <c r="B16" s="2">
        <v>2188</v>
      </c>
      <c r="C16" s="2">
        <v>1050</v>
      </c>
      <c r="D16" s="1">
        <v>5</v>
      </c>
      <c r="E16" t="s">
        <v>12</v>
      </c>
      <c r="F16" t="s">
        <v>16</v>
      </c>
      <c r="G16" t="s">
        <v>19</v>
      </c>
    </row>
    <row r="17" spans="1:7" x14ac:dyDescent="0.25">
      <c r="A17" t="s">
        <v>38</v>
      </c>
      <c r="B17" s="2">
        <v>6</v>
      </c>
      <c r="C17" s="2">
        <v>-3</v>
      </c>
      <c r="D17" s="1">
        <v>1</v>
      </c>
      <c r="E17" t="s">
        <v>23</v>
      </c>
      <c r="F17" t="s">
        <v>30</v>
      </c>
      <c r="G17" t="s">
        <v>28</v>
      </c>
    </row>
    <row r="18" spans="1:7" x14ac:dyDescent="0.25">
      <c r="A18" t="s">
        <v>39</v>
      </c>
      <c r="B18" s="2">
        <v>1854</v>
      </c>
      <c r="C18" s="2">
        <v>433</v>
      </c>
      <c r="D18" s="1">
        <v>5</v>
      </c>
      <c r="E18" t="s">
        <v>12</v>
      </c>
      <c r="F18" t="s">
        <v>16</v>
      </c>
      <c r="G18" t="s">
        <v>19</v>
      </c>
    </row>
    <row r="19" spans="1:7" x14ac:dyDescent="0.25">
      <c r="A19" t="s">
        <v>40</v>
      </c>
      <c r="B19" s="2">
        <v>6</v>
      </c>
      <c r="C19" s="2">
        <v>1</v>
      </c>
      <c r="D19" s="1">
        <v>1</v>
      </c>
      <c r="E19" t="s">
        <v>23</v>
      </c>
      <c r="F19" t="s">
        <v>32</v>
      </c>
      <c r="G19" t="s">
        <v>28</v>
      </c>
    </row>
    <row r="20" spans="1:7" x14ac:dyDescent="0.25">
      <c r="A20" t="s">
        <v>41</v>
      </c>
      <c r="B20" s="2">
        <v>2093</v>
      </c>
      <c r="C20" s="2">
        <v>721</v>
      </c>
      <c r="D20" s="1">
        <v>5</v>
      </c>
      <c r="E20" t="s">
        <v>12</v>
      </c>
      <c r="F20" t="s">
        <v>13</v>
      </c>
      <c r="G20" t="s">
        <v>19</v>
      </c>
    </row>
    <row r="21" spans="1:7" x14ac:dyDescent="0.25">
      <c r="A21" t="s">
        <v>42</v>
      </c>
      <c r="B21" s="2">
        <v>7</v>
      </c>
      <c r="C21" s="2">
        <v>-1</v>
      </c>
      <c r="D21" s="1">
        <v>2</v>
      </c>
      <c r="E21" t="s">
        <v>23</v>
      </c>
      <c r="F21" t="s">
        <v>43</v>
      </c>
      <c r="G21" t="s">
        <v>28</v>
      </c>
    </row>
    <row r="22" spans="1:7" x14ac:dyDescent="0.25">
      <c r="A22" t="s">
        <v>44</v>
      </c>
      <c r="B22" s="2">
        <v>1622</v>
      </c>
      <c r="C22" s="2">
        <v>-624</v>
      </c>
      <c r="D22" s="1">
        <v>5</v>
      </c>
      <c r="E22" t="s">
        <v>12</v>
      </c>
      <c r="F22" t="s">
        <v>45</v>
      </c>
      <c r="G22" t="s">
        <v>19</v>
      </c>
    </row>
    <row r="23" spans="1:7" x14ac:dyDescent="0.25">
      <c r="A23" t="s">
        <v>46</v>
      </c>
      <c r="B23" s="2">
        <v>1622</v>
      </c>
      <c r="C23" s="2">
        <v>95</v>
      </c>
      <c r="D23" s="1">
        <v>5</v>
      </c>
      <c r="E23" t="s">
        <v>8</v>
      </c>
      <c r="F23" t="s">
        <v>18</v>
      </c>
      <c r="G23" t="s">
        <v>19</v>
      </c>
    </row>
    <row r="24" spans="1:7" x14ac:dyDescent="0.25">
      <c r="A24" t="s">
        <v>47</v>
      </c>
      <c r="B24" s="2">
        <v>373</v>
      </c>
      <c r="C24" s="2">
        <v>254</v>
      </c>
      <c r="D24" s="1">
        <v>6</v>
      </c>
      <c r="E24" t="s">
        <v>8</v>
      </c>
      <c r="F24" t="s">
        <v>18</v>
      </c>
      <c r="G24" t="s">
        <v>28</v>
      </c>
    </row>
    <row r="25" spans="1:7" x14ac:dyDescent="0.25">
      <c r="A25" t="s">
        <v>48</v>
      </c>
      <c r="B25" s="2">
        <v>82</v>
      </c>
      <c r="C25" s="2">
        <v>-33</v>
      </c>
      <c r="D25" s="1">
        <v>4</v>
      </c>
      <c r="E25" t="s">
        <v>23</v>
      </c>
      <c r="F25" t="s">
        <v>32</v>
      </c>
      <c r="G25" t="s">
        <v>10</v>
      </c>
    </row>
    <row r="26" spans="1:7" x14ac:dyDescent="0.25">
      <c r="A26" t="s">
        <v>49</v>
      </c>
      <c r="B26" s="2">
        <v>8</v>
      </c>
      <c r="C26" s="2">
        <v>2</v>
      </c>
      <c r="D26" s="1">
        <v>2</v>
      </c>
      <c r="E26" t="s">
        <v>23</v>
      </c>
      <c r="F26" t="s">
        <v>43</v>
      </c>
      <c r="G26" t="s">
        <v>28</v>
      </c>
    </row>
    <row r="27" spans="1:7" x14ac:dyDescent="0.25">
      <c r="A27" t="s">
        <v>50</v>
      </c>
      <c r="B27" s="2">
        <v>1954</v>
      </c>
      <c r="C27" s="2">
        <v>782</v>
      </c>
      <c r="D27" s="1">
        <v>3</v>
      </c>
      <c r="E27" t="s">
        <v>8</v>
      </c>
      <c r="F27" t="s">
        <v>21</v>
      </c>
      <c r="G27" t="s">
        <v>19</v>
      </c>
    </row>
    <row r="28" spans="1:7" x14ac:dyDescent="0.25">
      <c r="A28" t="s">
        <v>51</v>
      </c>
      <c r="B28" s="2">
        <v>1543</v>
      </c>
      <c r="C28" s="2">
        <v>370</v>
      </c>
      <c r="D28" s="1">
        <v>8</v>
      </c>
      <c r="E28" t="s">
        <v>8</v>
      </c>
      <c r="F28" t="s">
        <v>18</v>
      </c>
      <c r="G28" t="s">
        <v>19</v>
      </c>
    </row>
    <row r="29" spans="1:7" x14ac:dyDescent="0.25">
      <c r="A29" t="s">
        <v>52</v>
      </c>
      <c r="B29" s="2">
        <v>1506</v>
      </c>
      <c r="C29" s="2">
        <v>-266</v>
      </c>
      <c r="D29" s="1">
        <v>6</v>
      </c>
      <c r="E29" t="s">
        <v>8</v>
      </c>
      <c r="F29" t="s">
        <v>18</v>
      </c>
      <c r="G29" t="s">
        <v>19</v>
      </c>
    </row>
    <row r="30" spans="1:7" x14ac:dyDescent="0.25">
      <c r="A30" t="s">
        <v>53</v>
      </c>
      <c r="B30" s="2">
        <v>1829</v>
      </c>
      <c r="C30" s="2">
        <v>-56</v>
      </c>
      <c r="D30" s="1">
        <v>6</v>
      </c>
      <c r="E30" t="s">
        <v>12</v>
      </c>
      <c r="F30" t="s">
        <v>45</v>
      </c>
      <c r="G30" t="s">
        <v>19</v>
      </c>
    </row>
    <row r="31" spans="1:7" x14ac:dyDescent="0.25">
      <c r="A31" t="s">
        <v>54</v>
      </c>
      <c r="B31" s="2">
        <v>9</v>
      </c>
      <c r="C31" s="2">
        <v>-1</v>
      </c>
      <c r="D31" s="1">
        <v>3</v>
      </c>
      <c r="E31" t="s">
        <v>23</v>
      </c>
      <c r="F31" t="s">
        <v>43</v>
      </c>
      <c r="G31" t="s">
        <v>28</v>
      </c>
    </row>
    <row r="32" spans="1:7" x14ac:dyDescent="0.25">
      <c r="A32" t="s">
        <v>55</v>
      </c>
      <c r="B32" s="2">
        <v>1461</v>
      </c>
      <c r="C32" s="2">
        <v>202</v>
      </c>
      <c r="D32" s="1">
        <v>5</v>
      </c>
      <c r="E32" t="s">
        <v>12</v>
      </c>
      <c r="F32" t="s">
        <v>45</v>
      </c>
      <c r="G32" t="s">
        <v>14</v>
      </c>
    </row>
    <row r="33" spans="1:7" x14ac:dyDescent="0.25">
      <c r="A33" t="s">
        <v>56</v>
      </c>
      <c r="B33" s="2">
        <v>391</v>
      </c>
      <c r="C33" s="2">
        <v>113</v>
      </c>
      <c r="D33" s="1">
        <v>8</v>
      </c>
      <c r="E33" t="s">
        <v>23</v>
      </c>
      <c r="F33" t="s">
        <v>57</v>
      </c>
      <c r="G33" t="s">
        <v>10</v>
      </c>
    </row>
    <row r="34" spans="1:7" x14ac:dyDescent="0.25">
      <c r="A34" t="s">
        <v>58</v>
      </c>
      <c r="B34" s="2">
        <v>1824</v>
      </c>
      <c r="C34" s="2">
        <v>1303</v>
      </c>
      <c r="D34" s="1">
        <v>8</v>
      </c>
      <c r="E34" t="s">
        <v>8</v>
      </c>
      <c r="F34" t="s">
        <v>21</v>
      </c>
      <c r="G34" t="s">
        <v>19</v>
      </c>
    </row>
    <row r="35" spans="1:7" x14ac:dyDescent="0.25">
      <c r="A35" t="s">
        <v>59</v>
      </c>
      <c r="B35" s="2">
        <v>16</v>
      </c>
      <c r="C35" s="2">
        <v>-15</v>
      </c>
      <c r="D35" s="1">
        <v>4</v>
      </c>
      <c r="E35" t="s">
        <v>23</v>
      </c>
      <c r="F35" t="s">
        <v>30</v>
      </c>
      <c r="G35" t="s">
        <v>28</v>
      </c>
    </row>
    <row r="36" spans="1:7" x14ac:dyDescent="0.25">
      <c r="A36" t="s">
        <v>60</v>
      </c>
      <c r="B36" s="2">
        <v>1745</v>
      </c>
      <c r="C36" s="2">
        <v>122</v>
      </c>
      <c r="D36" s="1">
        <v>2</v>
      </c>
      <c r="E36" t="s">
        <v>12</v>
      </c>
      <c r="F36" t="s">
        <v>45</v>
      </c>
      <c r="G36" t="s">
        <v>19</v>
      </c>
    </row>
    <row r="37" spans="1:7" x14ac:dyDescent="0.25">
      <c r="A37" t="s">
        <v>61</v>
      </c>
      <c r="B37" s="2">
        <v>663</v>
      </c>
      <c r="C37" s="2">
        <v>-212</v>
      </c>
      <c r="D37" s="1">
        <v>5</v>
      </c>
      <c r="E37" t="s">
        <v>8</v>
      </c>
      <c r="F37" t="s">
        <v>18</v>
      </c>
      <c r="G37" t="s">
        <v>28</v>
      </c>
    </row>
    <row r="38" spans="1:7" x14ac:dyDescent="0.25">
      <c r="A38" t="s">
        <v>62</v>
      </c>
      <c r="B38" s="2">
        <v>10</v>
      </c>
      <c r="C38" s="2">
        <v>-1</v>
      </c>
      <c r="D38" s="1">
        <v>1</v>
      </c>
      <c r="E38" t="s">
        <v>23</v>
      </c>
      <c r="F38" t="s">
        <v>63</v>
      </c>
      <c r="G38" t="s">
        <v>28</v>
      </c>
    </row>
    <row r="39" spans="1:7" x14ac:dyDescent="0.25">
      <c r="A39" t="s">
        <v>64</v>
      </c>
      <c r="B39" s="2">
        <v>1630</v>
      </c>
      <c r="C39" s="2">
        <v>802</v>
      </c>
      <c r="D39" s="1">
        <v>5</v>
      </c>
      <c r="E39" t="s">
        <v>12</v>
      </c>
      <c r="F39" t="s">
        <v>45</v>
      </c>
      <c r="G39" t="s">
        <v>14</v>
      </c>
    </row>
    <row r="40" spans="1:7" x14ac:dyDescent="0.25">
      <c r="A40" t="s">
        <v>65</v>
      </c>
      <c r="B40" s="2">
        <v>12</v>
      </c>
      <c r="C40" s="2">
        <v>0</v>
      </c>
      <c r="D40" s="1">
        <v>2</v>
      </c>
      <c r="E40" t="s">
        <v>23</v>
      </c>
      <c r="F40" t="s">
        <v>30</v>
      </c>
      <c r="G40" t="s">
        <v>28</v>
      </c>
    </row>
    <row r="41" spans="1:7" x14ac:dyDescent="0.25">
      <c r="A41" t="s">
        <v>66</v>
      </c>
      <c r="B41" s="2">
        <v>12</v>
      </c>
      <c r="C41" s="2">
        <v>-7</v>
      </c>
      <c r="D41" s="1">
        <v>2</v>
      </c>
      <c r="E41" t="s">
        <v>23</v>
      </c>
      <c r="F41" t="s">
        <v>63</v>
      </c>
      <c r="G41" t="s">
        <v>28</v>
      </c>
    </row>
    <row r="42" spans="1:7" x14ac:dyDescent="0.25">
      <c r="A42" t="s">
        <v>67</v>
      </c>
      <c r="B42" s="2">
        <v>1709</v>
      </c>
      <c r="C42" s="2">
        <v>564</v>
      </c>
      <c r="D42" s="1">
        <v>3</v>
      </c>
      <c r="E42" t="s">
        <v>23</v>
      </c>
      <c r="F42" t="s">
        <v>24</v>
      </c>
      <c r="G42" t="s">
        <v>19</v>
      </c>
    </row>
    <row r="43" spans="1:7" x14ac:dyDescent="0.25">
      <c r="A43" t="s">
        <v>68</v>
      </c>
      <c r="B43" s="2">
        <v>12</v>
      </c>
      <c r="C43" s="2">
        <v>3</v>
      </c>
      <c r="D43" s="1">
        <v>1</v>
      </c>
      <c r="E43" t="s">
        <v>23</v>
      </c>
      <c r="F43" t="s">
        <v>57</v>
      </c>
      <c r="G43" t="s">
        <v>28</v>
      </c>
    </row>
    <row r="44" spans="1:7" x14ac:dyDescent="0.25">
      <c r="A44" t="s">
        <v>7</v>
      </c>
      <c r="B44" s="2">
        <v>1625</v>
      </c>
      <c r="C44" s="2">
        <v>-77</v>
      </c>
      <c r="D44" s="1">
        <v>3</v>
      </c>
      <c r="E44" t="s">
        <v>8</v>
      </c>
      <c r="F44" t="s">
        <v>21</v>
      </c>
      <c r="G44" t="s">
        <v>14</v>
      </c>
    </row>
    <row r="45" spans="1:7" x14ac:dyDescent="0.25">
      <c r="A45" t="s">
        <v>69</v>
      </c>
      <c r="B45" s="2">
        <v>13</v>
      </c>
      <c r="C45" s="2">
        <v>5</v>
      </c>
      <c r="D45" s="1">
        <v>2</v>
      </c>
      <c r="E45" t="s">
        <v>23</v>
      </c>
      <c r="F45" t="s">
        <v>30</v>
      </c>
      <c r="G45" t="s">
        <v>28</v>
      </c>
    </row>
    <row r="46" spans="1:7" x14ac:dyDescent="0.25">
      <c r="A46" t="s">
        <v>70</v>
      </c>
      <c r="B46" s="2">
        <v>1361</v>
      </c>
      <c r="C46" s="2">
        <v>980</v>
      </c>
      <c r="D46" s="1">
        <v>3</v>
      </c>
      <c r="E46" t="s">
        <v>12</v>
      </c>
      <c r="F46" t="s">
        <v>45</v>
      </c>
      <c r="G46" t="s">
        <v>10</v>
      </c>
    </row>
    <row r="47" spans="1:7" x14ac:dyDescent="0.25">
      <c r="A47" t="s">
        <v>71</v>
      </c>
      <c r="B47" s="2">
        <v>1622</v>
      </c>
      <c r="C47" s="2">
        <v>-448</v>
      </c>
      <c r="D47" s="1">
        <v>3</v>
      </c>
      <c r="E47" t="s">
        <v>8</v>
      </c>
      <c r="F47" t="s">
        <v>21</v>
      </c>
      <c r="G47" t="s">
        <v>14</v>
      </c>
    </row>
    <row r="48" spans="1:7" x14ac:dyDescent="0.25">
      <c r="A48" t="s">
        <v>72</v>
      </c>
      <c r="B48" s="2">
        <v>1547</v>
      </c>
      <c r="C48" s="2">
        <v>340</v>
      </c>
      <c r="D48" s="1">
        <v>6</v>
      </c>
      <c r="E48" t="s">
        <v>8</v>
      </c>
      <c r="F48" t="s">
        <v>73</v>
      </c>
      <c r="G48" t="s">
        <v>14</v>
      </c>
    </row>
    <row r="49" spans="1:7" x14ac:dyDescent="0.25">
      <c r="A49" t="s">
        <v>74</v>
      </c>
      <c r="B49" s="2">
        <v>1657</v>
      </c>
      <c r="C49" s="2">
        <v>460</v>
      </c>
      <c r="D49" s="1">
        <v>4</v>
      </c>
      <c r="E49" t="s">
        <v>12</v>
      </c>
      <c r="F49" t="s">
        <v>13</v>
      </c>
      <c r="G49" t="s">
        <v>19</v>
      </c>
    </row>
    <row r="50" spans="1:7" x14ac:dyDescent="0.25">
      <c r="A50" t="s">
        <v>75</v>
      </c>
      <c r="B50" s="2">
        <v>1603</v>
      </c>
      <c r="C50" s="2">
        <v>0</v>
      </c>
      <c r="D50" s="1">
        <v>9</v>
      </c>
      <c r="E50" t="s">
        <v>23</v>
      </c>
      <c r="F50" t="s">
        <v>26</v>
      </c>
      <c r="G50" t="s">
        <v>19</v>
      </c>
    </row>
    <row r="51" spans="1:7" x14ac:dyDescent="0.25">
      <c r="A51" t="s">
        <v>76</v>
      </c>
      <c r="B51" s="2">
        <v>1549</v>
      </c>
      <c r="C51" s="2">
        <v>-439</v>
      </c>
      <c r="D51" s="1">
        <v>4</v>
      </c>
      <c r="E51" t="s">
        <v>8</v>
      </c>
      <c r="F51" t="s">
        <v>21</v>
      </c>
      <c r="G51" t="s">
        <v>19</v>
      </c>
    </row>
    <row r="52" spans="1:7" x14ac:dyDescent="0.25">
      <c r="A52" t="s">
        <v>77</v>
      </c>
      <c r="B52" s="2">
        <v>1183</v>
      </c>
      <c r="C52" s="2">
        <v>106</v>
      </c>
      <c r="D52" s="1">
        <v>4</v>
      </c>
      <c r="E52" t="s">
        <v>8</v>
      </c>
      <c r="F52" t="s">
        <v>18</v>
      </c>
      <c r="G52" t="s">
        <v>14</v>
      </c>
    </row>
    <row r="53" spans="1:7" x14ac:dyDescent="0.25">
      <c r="A53" t="s">
        <v>38</v>
      </c>
      <c r="B53" s="2">
        <v>74</v>
      </c>
      <c r="C53" s="2">
        <v>-123</v>
      </c>
      <c r="D53" s="1">
        <v>8</v>
      </c>
      <c r="E53" t="s">
        <v>23</v>
      </c>
      <c r="F53" t="s">
        <v>43</v>
      </c>
      <c r="G53" t="s">
        <v>28</v>
      </c>
    </row>
    <row r="54" spans="1:7" x14ac:dyDescent="0.25">
      <c r="A54" t="s">
        <v>78</v>
      </c>
      <c r="B54" s="2">
        <v>1499</v>
      </c>
      <c r="C54" s="2">
        <v>239</v>
      </c>
      <c r="D54" s="1">
        <v>13</v>
      </c>
      <c r="E54" t="s">
        <v>23</v>
      </c>
      <c r="F54" t="s">
        <v>26</v>
      </c>
      <c r="G54" t="s">
        <v>19</v>
      </c>
    </row>
    <row r="55" spans="1:7" x14ac:dyDescent="0.25">
      <c r="A55" t="s">
        <v>79</v>
      </c>
      <c r="B55" s="2">
        <v>1120</v>
      </c>
      <c r="C55" s="2">
        <v>199</v>
      </c>
      <c r="D55" s="1">
        <v>6</v>
      </c>
      <c r="E55" t="s">
        <v>23</v>
      </c>
      <c r="F55" t="s">
        <v>26</v>
      </c>
      <c r="G55" t="s">
        <v>14</v>
      </c>
    </row>
    <row r="56" spans="1:7" x14ac:dyDescent="0.25">
      <c r="A56" t="s">
        <v>80</v>
      </c>
      <c r="B56" s="2">
        <v>15</v>
      </c>
      <c r="C56" s="2">
        <v>-2</v>
      </c>
      <c r="D56" s="1">
        <v>1</v>
      </c>
      <c r="E56" t="s">
        <v>23</v>
      </c>
      <c r="F56" t="s">
        <v>81</v>
      </c>
      <c r="G56" t="s">
        <v>82</v>
      </c>
    </row>
    <row r="57" spans="1:7" x14ac:dyDescent="0.25">
      <c r="A57" t="s">
        <v>83</v>
      </c>
      <c r="B57" s="2">
        <v>1487</v>
      </c>
      <c r="C57" s="2">
        <v>624</v>
      </c>
      <c r="D57" s="1">
        <v>3</v>
      </c>
      <c r="E57" t="s">
        <v>23</v>
      </c>
      <c r="F57" t="s">
        <v>24</v>
      </c>
      <c r="G57" t="s">
        <v>19</v>
      </c>
    </row>
    <row r="58" spans="1:7" x14ac:dyDescent="0.25">
      <c r="A58" t="s">
        <v>84</v>
      </c>
      <c r="B58" s="2">
        <v>1118</v>
      </c>
      <c r="C58" s="2">
        <v>206</v>
      </c>
      <c r="D58" s="1">
        <v>2</v>
      </c>
      <c r="E58" t="s">
        <v>12</v>
      </c>
      <c r="F58" t="s">
        <v>45</v>
      </c>
      <c r="G58" t="s">
        <v>19</v>
      </c>
    </row>
    <row r="59" spans="1:7" x14ac:dyDescent="0.25">
      <c r="A59" t="s">
        <v>85</v>
      </c>
      <c r="B59" s="2">
        <v>11</v>
      </c>
      <c r="C59" s="2">
        <v>-5</v>
      </c>
      <c r="D59" s="1">
        <v>2</v>
      </c>
      <c r="E59" t="s">
        <v>23</v>
      </c>
      <c r="F59" t="s">
        <v>30</v>
      </c>
      <c r="G59" t="s">
        <v>10</v>
      </c>
    </row>
    <row r="60" spans="1:7" x14ac:dyDescent="0.25">
      <c r="A60" t="s">
        <v>86</v>
      </c>
      <c r="B60" s="2">
        <v>15</v>
      </c>
      <c r="C60" s="2">
        <v>4</v>
      </c>
      <c r="D60" s="1">
        <v>1</v>
      </c>
      <c r="E60" t="s">
        <v>23</v>
      </c>
      <c r="F60" t="s">
        <v>30</v>
      </c>
      <c r="G60" t="s">
        <v>82</v>
      </c>
    </row>
    <row r="61" spans="1:7" x14ac:dyDescent="0.25">
      <c r="A61" t="s">
        <v>87</v>
      </c>
      <c r="B61" s="2">
        <v>1364</v>
      </c>
      <c r="C61" s="2">
        <v>1864</v>
      </c>
      <c r="D61" s="1">
        <v>5</v>
      </c>
      <c r="E61" t="s">
        <v>12</v>
      </c>
      <c r="F61" t="s">
        <v>45</v>
      </c>
      <c r="G61" t="s">
        <v>19</v>
      </c>
    </row>
    <row r="62" spans="1:7" x14ac:dyDescent="0.25">
      <c r="A62" t="s">
        <v>88</v>
      </c>
      <c r="B62" s="2">
        <v>1337</v>
      </c>
      <c r="C62" s="2">
        <v>147</v>
      </c>
      <c r="D62" s="1">
        <v>7</v>
      </c>
      <c r="E62" t="s">
        <v>8</v>
      </c>
      <c r="F62" t="s">
        <v>18</v>
      </c>
      <c r="G62" t="s">
        <v>19</v>
      </c>
    </row>
    <row r="63" spans="1:7" x14ac:dyDescent="0.25">
      <c r="A63" t="s">
        <v>89</v>
      </c>
      <c r="B63" s="2">
        <v>15</v>
      </c>
      <c r="C63" s="2">
        <v>2</v>
      </c>
      <c r="D63" s="1">
        <v>1</v>
      </c>
      <c r="E63" t="s">
        <v>23</v>
      </c>
      <c r="F63" t="s">
        <v>63</v>
      </c>
      <c r="G63" t="s">
        <v>82</v>
      </c>
    </row>
    <row r="64" spans="1:7" x14ac:dyDescent="0.25">
      <c r="A64" t="s">
        <v>90</v>
      </c>
      <c r="B64" s="2">
        <v>322</v>
      </c>
      <c r="C64" s="2">
        <v>-193</v>
      </c>
      <c r="D64" s="1">
        <v>5</v>
      </c>
      <c r="E64" t="s">
        <v>8</v>
      </c>
      <c r="F64" t="s">
        <v>18</v>
      </c>
      <c r="G64" t="s">
        <v>28</v>
      </c>
    </row>
    <row r="65" spans="1:7" x14ac:dyDescent="0.25">
      <c r="A65" t="s">
        <v>91</v>
      </c>
      <c r="B65" s="2">
        <v>1316</v>
      </c>
      <c r="C65" s="2">
        <v>527</v>
      </c>
      <c r="D65" s="1">
        <v>7</v>
      </c>
      <c r="E65" t="s">
        <v>8</v>
      </c>
      <c r="F65" t="s">
        <v>9</v>
      </c>
      <c r="G65" t="s">
        <v>19</v>
      </c>
    </row>
    <row r="66" spans="1:7" x14ac:dyDescent="0.25">
      <c r="A66" t="s">
        <v>92</v>
      </c>
      <c r="B66" s="2">
        <v>1314</v>
      </c>
      <c r="C66" s="2">
        <v>342</v>
      </c>
      <c r="D66" s="1">
        <v>3</v>
      </c>
      <c r="E66" t="s">
        <v>12</v>
      </c>
      <c r="F66" t="s">
        <v>16</v>
      </c>
      <c r="G66" t="s">
        <v>19</v>
      </c>
    </row>
    <row r="67" spans="1:7" x14ac:dyDescent="0.25">
      <c r="A67" t="s">
        <v>93</v>
      </c>
      <c r="B67" s="2">
        <v>17</v>
      </c>
      <c r="C67" s="2">
        <v>7</v>
      </c>
      <c r="D67" s="1">
        <v>3</v>
      </c>
      <c r="E67" t="s">
        <v>23</v>
      </c>
      <c r="F67" t="s">
        <v>30</v>
      </c>
      <c r="G67" t="s">
        <v>82</v>
      </c>
    </row>
    <row r="68" spans="1:7" x14ac:dyDescent="0.25">
      <c r="A68" t="s">
        <v>94</v>
      </c>
      <c r="B68" s="2">
        <v>17</v>
      </c>
      <c r="C68" s="2">
        <v>2</v>
      </c>
      <c r="D68" s="1">
        <v>2</v>
      </c>
      <c r="E68" t="s">
        <v>23</v>
      </c>
      <c r="F68" t="s">
        <v>43</v>
      </c>
      <c r="G68" t="s">
        <v>82</v>
      </c>
    </row>
    <row r="69" spans="1:7" x14ac:dyDescent="0.25">
      <c r="A69" t="s">
        <v>95</v>
      </c>
      <c r="B69" s="2">
        <v>17</v>
      </c>
      <c r="C69" s="2">
        <v>-12</v>
      </c>
      <c r="D69" s="1">
        <v>5</v>
      </c>
      <c r="E69" t="s">
        <v>23</v>
      </c>
      <c r="F69" t="s">
        <v>43</v>
      </c>
      <c r="G69" t="s">
        <v>82</v>
      </c>
    </row>
    <row r="70" spans="1:7" x14ac:dyDescent="0.25">
      <c r="A70" t="s">
        <v>96</v>
      </c>
      <c r="B70" s="2">
        <v>1308</v>
      </c>
      <c r="C70" s="2">
        <v>536</v>
      </c>
      <c r="D70" s="1">
        <v>3</v>
      </c>
      <c r="E70" t="s">
        <v>12</v>
      </c>
      <c r="F70" t="s">
        <v>16</v>
      </c>
      <c r="G70" t="s">
        <v>19</v>
      </c>
    </row>
    <row r="71" spans="1:7" x14ac:dyDescent="0.25">
      <c r="A71" t="s">
        <v>97</v>
      </c>
      <c r="B71" s="2">
        <v>1076</v>
      </c>
      <c r="C71" s="2">
        <v>-38</v>
      </c>
      <c r="D71" s="1">
        <v>4</v>
      </c>
      <c r="E71" t="s">
        <v>8</v>
      </c>
      <c r="F71" t="s">
        <v>18</v>
      </c>
      <c r="G71" t="s">
        <v>19</v>
      </c>
    </row>
    <row r="72" spans="1:7" x14ac:dyDescent="0.25">
      <c r="A72" t="s">
        <v>98</v>
      </c>
      <c r="B72" s="2">
        <v>1301</v>
      </c>
      <c r="C72" s="2">
        <v>573</v>
      </c>
      <c r="D72" s="1">
        <v>5</v>
      </c>
      <c r="E72" t="s">
        <v>8</v>
      </c>
      <c r="F72" t="s">
        <v>73</v>
      </c>
      <c r="G72" t="s">
        <v>19</v>
      </c>
    </row>
    <row r="73" spans="1:7" x14ac:dyDescent="0.25">
      <c r="A73" t="s">
        <v>99</v>
      </c>
      <c r="B73" s="2">
        <v>1300</v>
      </c>
      <c r="C73" s="2">
        <v>-16</v>
      </c>
      <c r="D73" s="1">
        <v>8</v>
      </c>
      <c r="E73" t="s">
        <v>8</v>
      </c>
      <c r="F73" t="s">
        <v>18</v>
      </c>
      <c r="G73" t="s">
        <v>19</v>
      </c>
    </row>
    <row r="74" spans="1:7" x14ac:dyDescent="0.25">
      <c r="A74" t="s">
        <v>100</v>
      </c>
      <c r="B74" s="2">
        <v>11</v>
      </c>
      <c r="C74" s="2">
        <v>-2</v>
      </c>
      <c r="D74" s="1">
        <v>4</v>
      </c>
      <c r="E74" t="s">
        <v>23</v>
      </c>
      <c r="F74" t="s">
        <v>30</v>
      </c>
      <c r="G74" t="s">
        <v>10</v>
      </c>
    </row>
    <row r="75" spans="1:7" x14ac:dyDescent="0.25">
      <c r="A75" t="s">
        <v>101</v>
      </c>
      <c r="B75" s="2">
        <v>1298</v>
      </c>
      <c r="C75" s="2">
        <v>65</v>
      </c>
      <c r="D75" s="1">
        <v>9</v>
      </c>
      <c r="E75" t="s">
        <v>8</v>
      </c>
      <c r="F75" t="s">
        <v>18</v>
      </c>
      <c r="G75" t="s">
        <v>14</v>
      </c>
    </row>
    <row r="76" spans="1:7" x14ac:dyDescent="0.25">
      <c r="A76" t="s">
        <v>102</v>
      </c>
      <c r="B76" s="2">
        <v>304</v>
      </c>
      <c r="C76" s="2">
        <v>97</v>
      </c>
      <c r="D76" s="1">
        <v>6</v>
      </c>
      <c r="E76" t="s">
        <v>23</v>
      </c>
      <c r="F76" t="s">
        <v>57</v>
      </c>
      <c r="G76" t="s">
        <v>28</v>
      </c>
    </row>
    <row r="77" spans="1:7" x14ac:dyDescent="0.25">
      <c r="A77" t="s">
        <v>103</v>
      </c>
      <c r="B77" s="2">
        <v>1055</v>
      </c>
      <c r="C77" s="2">
        <v>264</v>
      </c>
      <c r="D77" s="1">
        <v>4</v>
      </c>
      <c r="E77" t="s">
        <v>8</v>
      </c>
      <c r="F77" t="s">
        <v>18</v>
      </c>
      <c r="G77" t="s">
        <v>14</v>
      </c>
    </row>
    <row r="78" spans="1:7" x14ac:dyDescent="0.25">
      <c r="A78" t="s">
        <v>104</v>
      </c>
      <c r="B78" s="2">
        <v>17</v>
      </c>
      <c r="C78" s="2">
        <v>-13</v>
      </c>
      <c r="D78" s="1">
        <v>4</v>
      </c>
      <c r="E78" t="s">
        <v>23</v>
      </c>
      <c r="F78" t="s">
        <v>43</v>
      </c>
      <c r="G78" t="s">
        <v>82</v>
      </c>
    </row>
    <row r="79" spans="1:7" x14ac:dyDescent="0.25">
      <c r="A79" t="s">
        <v>105</v>
      </c>
      <c r="B79" s="2">
        <v>147</v>
      </c>
      <c r="C79" s="2">
        <v>73</v>
      </c>
      <c r="D79" s="1">
        <v>3</v>
      </c>
      <c r="E79" t="s">
        <v>23</v>
      </c>
      <c r="F79" t="s">
        <v>57</v>
      </c>
      <c r="G79" t="s">
        <v>10</v>
      </c>
    </row>
    <row r="80" spans="1:7" x14ac:dyDescent="0.25">
      <c r="A80" t="s">
        <v>106</v>
      </c>
      <c r="B80" s="2">
        <v>965</v>
      </c>
      <c r="C80" s="2">
        <v>-68</v>
      </c>
      <c r="D80" s="1">
        <v>3</v>
      </c>
      <c r="E80" t="s">
        <v>8</v>
      </c>
      <c r="F80" t="s">
        <v>18</v>
      </c>
      <c r="G80" t="s">
        <v>10</v>
      </c>
    </row>
    <row r="81" spans="1:7" x14ac:dyDescent="0.25">
      <c r="A81" t="s">
        <v>42</v>
      </c>
      <c r="B81" s="2">
        <v>12</v>
      </c>
      <c r="C81" s="2">
        <v>-2</v>
      </c>
      <c r="D81" s="1">
        <v>3</v>
      </c>
      <c r="E81" t="s">
        <v>23</v>
      </c>
      <c r="F81" t="s">
        <v>30</v>
      </c>
      <c r="G81" t="s">
        <v>10</v>
      </c>
    </row>
    <row r="82" spans="1:7" x14ac:dyDescent="0.25">
      <c r="A82" t="s">
        <v>107</v>
      </c>
      <c r="B82" s="2">
        <v>14</v>
      </c>
      <c r="C82" s="2">
        <v>-2</v>
      </c>
      <c r="D82" s="1">
        <v>3</v>
      </c>
      <c r="E82" t="s">
        <v>23</v>
      </c>
      <c r="F82" t="s">
        <v>30</v>
      </c>
      <c r="G82" t="s">
        <v>28</v>
      </c>
    </row>
    <row r="83" spans="1:7" x14ac:dyDescent="0.25">
      <c r="A83" t="s">
        <v>108</v>
      </c>
      <c r="B83" s="2">
        <v>934</v>
      </c>
      <c r="C83" s="2">
        <v>-916</v>
      </c>
      <c r="D83" s="1">
        <v>7</v>
      </c>
      <c r="E83" t="s">
        <v>8</v>
      </c>
      <c r="F83" t="s">
        <v>9</v>
      </c>
      <c r="G83" t="s">
        <v>10</v>
      </c>
    </row>
    <row r="84" spans="1:7" x14ac:dyDescent="0.25">
      <c r="A84" t="s">
        <v>109</v>
      </c>
      <c r="B84" s="2">
        <v>929</v>
      </c>
      <c r="C84" s="2">
        <v>-93</v>
      </c>
      <c r="D84" s="1">
        <v>9</v>
      </c>
      <c r="E84" t="s">
        <v>23</v>
      </c>
      <c r="F84" t="s">
        <v>26</v>
      </c>
      <c r="G84" t="s">
        <v>10</v>
      </c>
    </row>
    <row r="85" spans="1:7" x14ac:dyDescent="0.25">
      <c r="A85" t="s">
        <v>110</v>
      </c>
      <c r="B85" s="2">
        <v>18</v>
      </c>
      <c r="C85" s="2">
        <v>3</v>
      </c>
      <c r="D85" s="1">
        <v>2</v>
      </c>
      <c r="E85" t="s">
        <v>23</v>
      </c>
      <c r="F85" t="s">
        <v>30</v>
      </c>
      <c r="G85" t="s">
        <v>82</v>
      </c>
    </row>
    <row r="86" spans="1:7" x14ac:dyDescent="0.25">
      <c r="A86" t="s">
        <v>111</v>
      </c>
      <c r="B86" s="2">
        <v>916</v>
      </c>
      <c r="C86" s="2">
        <v>192</v>
      </c>
      <c r="D86" s="1">
        <v>11</v>
      </c>
      <c r="E86" t="s">
        <v>8</v>
      </c>
      <c r="F86" t="s">
        <v>21</v>
      </c>
      <c r="G86" t="s">
        <v>10</v>
      </c>
    </row>
    <row r="87" spans="1:7" x14ac:dyDescent="0.25">
      <c r="A87" t="s">
        <v>112</v>
      </c>
      <c r="B87" s="2">
        <v>76</v>
      </c>
      <c r="C87" s="2">
        <v>-72</v>
      </c>
      <c r="D87" s="1">
        <v>9</v>
      </c>
      <c r="E87" t="s">
        <v>23</v>
      </c>
      <c r="F87" t="s">
        <v>30</v>
      </c>
      <c r="G87" t="s">
        <v>10</v>
      </c>
    </row>
    <row r="88" spans="1:7" x14ac:dyDescent="0.25">
      <c r="A88" t="s">
        <v>113</v>
      </c>
      <c r="B88" s="2">
        <v>869</v>
      </c>
      <c r="C88" s="2">
        <v>67</v>
      </c>
      <c r="D88" s="1">
        <v>4</v>
      </c>
      <c r="E88" t="s">
        <v>12</v>
      </c>
      <c r="F88" t="s">
        <v>45</v>
      </c>
      <c r="G88" t="s">
        <v>10</v>
      </c>
    </row>
    <row r="89" spans="1:7" x14ac:dyDescent="0.25">
      <c r="A89" t="s">
        <v>114</v>
      </c>
      <c r="B89" s="2">
        <v>112</v>
      </c>
      <c r="C89" s="2">
        <v>24</v>
      </c>
      <c r="D89" s="1">
        <v>3</v>
      </c>
      <c r="E89" t="s">
        <v>23</v>
      </c>
      <c r="F89" t="s">
        <v>32</v>
      </c>
      <c r="G89" t="s">
        <v>10</v>
      </c>
    </row>
    <row r="90" spans="1:7" x14ac:dyDescent="0.25">
      <c r="A90" t="s">
        <v>41</v>
      </c>
      <c r="B90" s="2">
        <v>39</v>
      </c>
      <c r="C90" s="2">
        <v>16</v>
      </c>
      <c r="D90" s="1">
        <v>6</v>
      </c>
      <c r="E90" t="s">
        <v>23</v>
      </c>
      <c r="F90" t="s">
        <v>43</v>
      </c>
      <c r="G90" t="s">
        <v>28</v>
      </c>
    </row>
    <row r="91" spans="1:7" x14ac:dyDescent="0.25">
      <c r="A91" t="s">
        <v>115</v>
      </c>
      <c r="B91" s="2">
        <v>857</v>
      </c>
      <c r="C91" s="2">
        <v>-274</v>
      </c>
      <c r="D91" s="1">
        <v>2</v>
      </c>
      <c r="E91" t="s">
        <v>12</v>
      </c>
      <c r="F91" t="s">
        <v>45</v>
      </c>
      <c r="G91" t="s">
        <v>10</v>
      </c>
    </row>
    <row r="92" spans="1:7" x14ac:dyDescent="0.25">
      <c r="A92" t="s">
        <v>116</v>
      </c>
      <c r="B92" s="2">
        <v>828</v>
      </c>
      <c r="C92" s="2">
        <v>230</v>
      </c>
      <c r="D92" s="1">
        <v>2</v>
      </c>
      <c r="E92" t="s">
        <v>12</v>
      </c>
      <c r="F92" t="s">
        <v>13</v>
      </c>
      <c r="G92" t="s">
        <v>10</v>
      </c>
    </row>
    <row r="93" spans="1:7" x14ac:dyDescent="0.25">
      <c r="A93" t="s">
        <v>117</v>
      </c>
      <c r="B93" s="2">
        <v>1279</v>
      </c>
      <c r="C93" s="2">
        <v>-640</v>
      </c>
      <c r="D93" s="1">
        <v>8</v>
      </c>
      <c r="E93" t="s">
        <v>8</v>
      </c>
      <c r="F93" t="s">
        <v>18</v>
      </c>
      <c r="G93" t="s">
        <v>14</v>
      </c>
    </row>
    <row r="94" spans="1:7" x14ac:dyDescent="0.25">
      <c r="A94" t="s">
        <v>118</v>
      </c>
      <c r="B94" s="2">
        <v>1250</v>
      </c>
      <c r="C94" s="2">
        <v>486</v>
      </c>
      <c r="D94" s="1">
        <v>7</v>
      </c>
      <c r="E94" t="s">
        <v>23</v>
      </c>
      <c r="F94" t="s">
        <v>26</v>
      </c>
      <c r="G94" t="s">
        <v>14</v>
      </c>
    </row>
    <row r="95" spans="1:7" x14ac:dyDescent="0.25">
      <c r="A95" t="s">
        <v>119</v>
      </c>
      <c r="B95" s="2">
        <v>823</v>
      </c>
      <c r="C95" s="2">
        <v>-18</v>
      </c>
      <c r="D95" s="1">
        <v>7</v>
      </c>
      <c r="E95" t="s">
        <v>12</v>
      </c>
      <c r="F95" t="s">
        <v>13</v>
      </c>
      <c r="G95" t="s">
        <v>10</v>
      </c>
    </row>
    <row r="96" spans="1:7" x14ac:dyDescent="0.25">
      <c r="A96" t="s">
        <v>105</v>
      </c>
      <c r="B96" s="2">
        <v>1157</v>
      </c>
      <c r="C96" s="2">
        <v>-13</v>
      </c>
      <c r="D96" s="1">
        <v>9</v>
      </c>
      <c r="E96" t="s">
        <v>12</v>
      </c>
      <c r="F96" t="s">
        <v>16</v>
      </c>
      <c r="G96" t="s">
        <v>19</v>
      </c>
    </row>
    <row r="97" spans="1:7" x14ac:dyDescent="0.25">
      <c r="A97" t="s">
        <v>120</v>
      </c>
      <c r="B97" s="2">
        <v>126</v>
      </c>
      <c r="C97" s="2">
        <v>-63</v>
      </c>
      <c r="D97" s="1">
        <v>3</v>
      </c>
      <c r="E97" t="s">
        <v>8</v>
      </c>
      <c r="F97" t="s">
        <v>73</v>
      </c>
      <c r="G97" t="s">
        <v>28</v>
      </c>
    </row>
    <row r="98" spans="1:7" x14ac:dyDescent="0.25">
      <c r="A98" t="s">
        <v>121</v>
      </c>
      <c r="B98" s="2">
        <v>1145</v>
      </c>
      <c r="C98" s="2">
        <v>-706</v>
      </c>
      <c r="D98" s="1">
        <v>3</v>
      </c>
      <c r="E98" t="s">
        <v>8</v>
      </c>
      <c r="F98" t="s">
        <v>21</v>
      </c>
      <c r="G98" t="s">
        <v>19</v>
      </c>
    </row>
    <row r="99" spans="1:7" x14ac:dyDescent="0.25">
      <c r="A99" t="s">
        <v>122</v>
      </c>
      <c r="B99" s="2">
        <v>774</v>
      </c>
      <c r="C99" s="2">
        <v>170</v>
      </c>
      <c r="D99" s="1">
        <v>3</v>
      </c>
      <c r="E99" t="s">
        <v>8</v>
      </c>
      <c r="F99" t="s">
        <v>73</v>
      </c>
      <c r="G99" t="s">
        <v>10</v>
      </c>
    </row>
    <row r="100" spans="1:7" x14ac:dyDescent="0.25">
      <c r="A100" t="s">
        <v>123</v>
      </c>
      <c r="B100" s="2">
        <v>24</v>
      </c>
      <c r="C100" s="2">
        <v>-1</v>
      </c>
      <c r="D100" s="1">
        <v>2</v>
      </c>
      <c r="E100" t="s">
        <v>23</v>
      </c>
      <c r="F100" t="s">
        <v>30</v>
      </c>
      <c r="G100" t="s">
        <v>10</v>
      </c>
    </row>
    <row r="101" spans="1:7" x14ac:dyDescent="0.25">
      <c r="A101" t="s">
        <v>124</v>
      </c>
      <c r="B101" s="2">
        <v>774</v>
      </c>
      <c r="C101" s="2">
        <v>170</v>
      </c>
      <c r="D101" s="1">
        <v>3</v>
      </c>
      <c r="E101" t="s">
        <v>8</v>
      </c>
      <c r="F101" t="s">
        <v>73</v>
      </c>
      <c r="G101" t="s">
        <v>10</v>
      </c>
    </row>
    <row r="102" spans="1:7" x14ac:dyDescent="0.25">
      <c r="A102" t="s">
        <v>111</v>
      </c>
      <c r="B102" s="2">
        <v>93</v>
      </c>
      <c r="C102" s="2">
        <v>-1</v>
      </c>
      <c r="D102" s="1">
        <v>2</v>
      </c>
      <c r="E102" t="s">
        <v>23</v>
      </c>
      <c r="F102" t="s">
        <v>30</v>
      </c>
      <c r="G102" t="s">
        <v>10</v>
      </c>
    </row>
    <row r="103" spans="1:7" x14ac:dyDescent="0.25">
      <c r="A103" t="s">
        <v>125</v>
      </c>
      <c r="B103" s="2">
        <v>765</v>
      </c>
      <c r="C103" s="2">
        <v>-36</v>
      </c>
      <c r="D103" s="1">
        <v>3</v>
      </c>
      <c r="E103" t="s">
        <v>8</v>
      </c>
      <c r="F103" t="s">
        <v>9</v>
      </c>
      <c r="G103" t="s">
        <v>10</v>
      </c>
    </row>
    <row r="104" spans="1:7" x14ac:dyDescent="0.25">
      <c r="A104" t="s">
        <v>126</v>
      </c>
      <c r="B104" s="2">
        <v>762</v>
      </c>
      <c r="C104" s="2">
        <v>101</v>
      </c>
      <c r="D104" s="1">
        <v>6</v>
      </c>
      <c r="E104" t="s">
        <v>8</v>
      </c>
      <c r="F104" t="s">
        <v>18</v>
      </c>
      <c r="G104" t="s">
        <v>10</v>
      </c>
    </row>
    <row r="105" spans="1:7" x14ac:dyDescent="0.25">
      <c r="A105" t="s">
        <v>127</v>
      </c>
      <c r="B105" s="2">
        <v>761</v>
      </c>
      <c r="C105" s="2">
        <v>266</v>
      </c>
      <c r="D105" s="1">
        <v>9</v>
      </c>
      <c r="E105" t="s">
        <v>8</v>
      </c>
      <c r="F105" t="s">
        <v>9</v>
      </c>
      <c r="G105" t="s">
        <v>10</v>
      </c>
    </row>
    <row r="106" spans="1:7" x14ac:dyDescent="0.25">
      <c r="A106" t="s">
        <v>128</v>
      </c>
      <c r="B106" s="2">
        <v>96</v>
      </c>
      <c r="C106" s="2">
        <v>-48</v>
      </c>
      <c r="D106" s="1">
        <v>5</v>
      </c>
      <c r="E106" t="s">
        <v>23</v>
      </c>
      <c r="F106" t="s">
        <v>63</v>
      </c>
      <c r="G106" t="s">
        <v>28</v>
      </c>
    </row>
    <row r="107" spans="1:7" x14ac:dyDescent="0.25">
      <c r="A107" t="s">
        <v>129</v>
      </c>
      <c r="B107" s="2">
        <v>1137</v>
      </c>
      <c r="C107" s="2">
        <v>-14</v>
      </c>
      <c r="D107" s="1">
        <v>7</v>
      </c>
      <c r="E107" t="s">
        <v>8</v>
      </c>
      <c r="F107" t="s">
        <v>18</v>
      </c>
      <c r="G107" t="s">
        <v>14</v>
      </c>
    </row>
    <row r="108" spans="1:7" x14ac:dyDescent="0.25">
      <c r="A108" t="s">
        <v>121</v>
      </c>
      <c r="B108" s="2">
        <v>18</v>
      </c>
      <c r="C108" s="2">
        <v>8</v>
      </c>
      <c r="D108" s="1">
        <v>2</v>
      </c>
      <c r="E108" t="s">
        <v>23</v>
      </c>
      <c r="F108" t="s">
        <v>30</v>
      </c>
      <c r="G108" t="s">
        <v>82</v>
      </c>
    </row>
    <row r="109" spans="1:7" x14ac:dyDescent="0.25">
      <c r="A109" t="s">
        <v>130</v>
      </c>
      <c r="B109" s="2">
        <v>749</v>
      </c>
      <c r="C109" s="2">
        <v>-307</v>
      </c>
      <c r="D109" s="1">
        <v>7</v>
      </c>
      <c r="E109" t="s">
        <v>12</v>
      </c>
      <c r="F109" t="s">
        <v>131</v>
      </c>
      <c r="G109" t="s">
        <v>10</v>
      </c>
    </row>
    <row r="110" spans="1:7" x14ac:dyDescent="0.25">
      <c r="A110" t="s">
        <v>129</v>
      </c>
      <c r="B110" s="2">
        <v>1120</v>
      </c>
      <c r="C110" s="2">
        <v>199</v>
      </c>
      <c r="D110" s="1">
        <v>6</v>
      </c>
      <c r="E110" t="s">
        <v>23</v>
      </c>
      <c r="F110" t="s">
        <v>26</v>
      </c>
      <c r="G110" t="s">
        <v>14</v>
      </c>
    </row>
    <row r="111" spans="1:7" x14ac:dyDescent="0.25">
      <c r="A111" t="s">
        <v>132</v>
      </c>
      <c r="B111" s="2">
        <v>744</v>
      </c>
      <c r="C111" s="2">
        <v>119</v>
      </c>
      <c r="D111" s="1">
        <v>6</v>
      </c>
      <c r="E111" t="s">
        <v>8</v>
      </c>
      <c r="F111" t="s">
        <v>18</v>
      </c>
      <c r="G111" t="s">
        <v>10</v>
      </c>
    </row>
    <row r="112" spans="1:7" x14ac:dyDescent="0.25">
      <c r="A112" t="s">
        <v>133</v>
      </c>
      <c r="B112" s="2">
        <v>14</v>
      </c>
      <c r="C112" s="2">
        <v>0</v>
      </c>
      <c r="D112" s="1">
        <v>4</v>
      </c>
      <c r="E112" t="s">
        <v>23</v>
      </c>
      <c r="F112" t="s">
        <v>30</v>
      </c>
      <c r="G112" t="s">
        <v>28</v>
      </c>
    </row>
    <row r="113" spans="1:7" x14ac:dyDescent="0.25">
      <c r="A113" t="s">
        <v>134</v>
      </c>
      <c r="B113" s="2">
        <v>19</v>
      </c>
      <c r="C113" s="2">
        <v>8</v>
      </c>
      <c r="D113" s="1">
        <v>2</v>
      </c>
      <c r="E113" t="s">
        <v>23</v>
      </c>
      <c r="F113" t="s">
        <v>30</v>
      </c>
      <c r="G113" t="s">
        <v>82</v>
      </c>
    </row>
    <row r="114" spans="1:7" x14ac:dyDescent="0.25">
      <c r="A114" t="s">
        <v>135</v>
      </c>
      <c r="B114" s="2">
        <v>512</v>
      </c>
      <c r="C114" s="2">
        <v>-225</v>
      </c>
      <c r="D114" s="1">
        <v>5</v>
      </c>
      <c r="E114" t="s">
        <v>23</v>
      </c>
      <c r="F114" t="s">
        <v>26</v>
      </c>
      <c r="G114" t="s">
        <v>10</v>
      </c>
    </row>
    <row r="115" spans="1:7" x14ac:dyDescent="0.25">
      <c r="A115" t="s">
        <v>136</v>
      </c>
      <c r="B115" s="2">
        <v>742</v>
      </c>
      <c r="C115" s="2">
        <v>198</v>
      </c>
      <c r="D115" s="1">
        <v>2</v>
      </c>
      <c r="E115" t="s">
        <v>12</v>
      </c>
      <c r="F115" t="s">
        <v>16</v>
      </c>
      <c r="G115" t="s">
        <v>10</v>
      </c>
    </row>
    <row r="116" spans="1:7" x14ac:dyDescent="0.25">
      <c r="A116" t="s">
        <v>137</v>
      </c>
      <c r="B116" s="2">
        <v>44</v>
      </c>
      <c r="C116" s="2">
        <v>-40</v>
      </c>
      <c r="D116" s="1">
        <v>3</v>
      </c>
      <c r="E116" t="s">
        <v>23</v>
      </c>
      <c r="F116" t="s">
        <v>57</v>
      </c>
      <c r="G116" t="s">
        <v>10</v>
      </c>
    </row>
    <row r="117" spans="1:7" x14ac:dyDescent="0.25">
      <c r="A117" t="s">
        <v>29</v>
      </c>
      <c r="B117" s="2">
        <v>1061</v>
      </c>
      <c r="C117" s="2">
        <v>-36</v>
      </c>
      <c r="D117" s="1">
        <v>8</v>
      </c>
      <c r="E117" t="s">
        <v>12</v>
      </c>
      <c r="F117" t="s">
        <v>16</v>
      </c>
      <c r="G117" t="s">
        <v>14</v>
      </c>
    </row>
    <row r="118" spans="1:7" x14ac:dyDescent="0.25">
      <c r="A118" t="s">
        <v>138</v>
      </c>
      <c r="B118" s="2">
        <v>19</v>
      </c>
      <c r="C118" s="2">
        <v>-2</v>
      </c>
      <c r="D118" s="1">
        <v>2</v>
      </c>
      <c r="E118" t="s">
        <v>23</v>
      </c>
      <c r="F118" t="s">
        <v>63</v>
      </c>
      <c r="G118" t="s">
        <v>82</v>
      </c>
    </row>
    <row r="119" spans="1:7" x14ac:dyDescent="0.25">
      <c r="A119" t="s">
        <v>139</v>
      </c>
      <c r="B119" s="2">
        <v>17</v>
      </c>
      <c r="C119" s="2">
        <v>0</v>
      </c>
      <c r="D119" s="1">
        <v>1</v>
      </c>
      <c r="E119" t="s">
        <v>23</v>
      </c>
      <c r="F119" t="s">
        <v>30</v>
      </c>
      <c r="G119" t="s">
        <v>10</v>
      </c>
    </row>
    <row r="120" spans="1:7" x14ac:dyDescent="0.25">
      <c r="A120" t="s">
        <v>140</v>
      </c>
      <c r="B120" s="2">
        <v>741</v>
      </c>
      <c r="C120" s="2">
        <v>267</v>
      </c>
      <c r="D120" s="1">
        <v>5</v>
      </c>
      <c r="E120" t="s">
        <v>12</v>
      </c>
      <c r="F120" t="s">
        <v>16</v>
      </c>
      <c r="G120" t="s">
        <v>10</v>
      </c>
    </row>
    <row r="121" spans="1:7" x14ac:dyDescent="0.25">
      <c r="A121" t="s">
        <v>127</v>
      </c>
      <c r="B121" s="2">
        <v>735</v>
      </c>
      <c r="C121" s="2">
        <v>-235</v>
      </c>
      <c r="D121" s="1">
        <v>6</v>
      </c>
      <c r="E121" t="s">
        <v>8</v>
      </c>
      <c r="F121" t="s">
        <v>18</v>
      </c>
      <c r="G121" t="s">
        <v>10</v>
      </c>
    </row>
    <row r="122" spans="1:7" x14ac:dyDescent="0.25">
      <c r="A122" t="s">
        <v>141</v>
      </c>
      <c r="B122" s="2">
        <v>19</v>
      </c>
      <c r="C122" s="2">
        <v>-1</v>
      </c>
      <c r="D122" s="1">
        <v>1</v>
      </c>
      <c r="E122" t="s">
        <v>23</v>
      </c>
      <c r="F122" t="s">
        <v>142</v>
      </c>
      <c r="G122" t="s">
        <v>82</v>
      </c>
    </row>
    <row r="123" spans="1:7" x14ac:dyDescent="0.25">
      <c r="A123" t="s">
        <v>143</v>
      </c>
      <c r="B123" s="2">
        <v>1021</v>
      </c>
      <c r="C123" s="2">
        <v>-48</v>
      </c>
      <c r="D123" s="1">
        <v>4</v>
      </c>
      <c r="E123" t="s">
        <v>8</v>
      </c>
      <c r="F123" t="s">
        <v>9</v>
      </c>
      <c r="G123" t="s">
        <v>14</v>
      </c>
    </row>
    <row r="124" spans="1:7" x14ac:dyDescent="0.25">
      <c r="A124" t="s">
        <v>144</v>
      </c>
      <c r="B124" s="2">
        <v>556</v>
      </c>
      <c r="C124" s="2">
        <v>-209</v>
      </c>
      <c r="D124" s="1">
        <v>7</v>
      </c>
      <c r="E124" t="s">
        <v>23</v>
      </c>
      <c r="F124" t="s">
        <v>26</v>
      </c>
      <c r="G124" t="s">
        <v>10</v>
      </c>
    </row>
    <row r="125" spans="1:7" x14ac:dyDescent="0.25">
      <c r="A125" t="s">
        <v>145</v>
      </c>
      <c r="B125" s="2">
        <v>63</v>
      </c>
      <c r="C125" s="2">
        <v>-17</v>
      </c>
      <c r="D125" s="1">
        <v>6</v>
      </c>
      <c r="E125" t="s">
        <v>23</v>
      </c>
      <c r="F125" t="s">
        <v>63</v>
      </c>
      <c r="G125" t="s">
        <v>10</v>
      </c>
    </row>
    <row r="126" spans="1:7" x14ac:dyDescent="0.25">
      <c r="A126" t="s">
        <v>146</v>
      </c>
      <c r="B126" s="2">
        <v>734</v>
      </c>
      <c r="C126" s="2">
        <v>248</v>
      </c>
      <c r="D126" s="1">
        <v>2</v>
      </c>
      <c r="E126" t="s">
        <v>12</v>
      </c>
      <c r="F126" t="s">
        <v>13</v>
      </c>
      <c r="G126" t="s">
        <v>10</v>
      </c>
    </row>
    <row r="127" spans="1:7" x14ac:dyDescent="0.25">
      <c r="A127" t="s">
        <v>52</v>
      </c>
      <c r="B127" s="2">
        <v>933</v>
      </c>
      <c r="C127" s="2">
        <v>166</v>
      </c>
      <c r="D127" s="1">
        <v>5</v>
      </c>
      <c r="E127" t="s">
        <v>23</v>
      </c>
      <c r="F127" t="s">
        <v>26</v>
      </c>
      <c r="G127" t="s">
        <v>19</v>
      </c>
    </row>
    <row r="128" spans="1:7" x14ac:dyDescent="0.25">
      <c r="A128" t="s">
        <v>147</v>
      </c>
      <c r="B128" s="2">
        <v>20</v>
      </c>
      <c r="C128" s="2">
        <v>-9</v>
      </c>
      <c r="D128" s="1">
        <v>6</v>
      </c>
      <c r="E128" t="s">
        <v>23</v>
      </c>
      <c r="F128" t="s">
        <v>30</v>
      </c>
      <c r="G128" t="s">
        <v>82</v>
      </c>
    </row>
    <row r="129" spans="1:7" x14ac:dyDescent="0.25">
      <c r="A129" t="s">
        <v>148</v>
      </c>
      <c r="B129" s="2">
        <v>877</v>
      </c>
      <c r="C129" s="2">
        <v>395</v>
      </c>
      <c r="D129" s="1">
        <v>2</v>
      </c>
      <c r="E129" t="s">
        <v>12</v>
      </c>
      <c r="F129" t="s">
        <v>16</v>
      </c>
      <c r="G129" t="s">
        <v>19</v>
      </c>
    </row>
    <row r="130" spans="1:7" x14ac:dyDescent="0.25">
      <c r="A130" t="s">
        <v>140</v>
      </c>
      <c r="B130" s="2">
        <v>719</v>
      </c>
      <c r="C130" s="2">
        <v>303</v>
      </c>
      <c r="D130" s="1">
        <v>6</v>
      </c>
      <c r="E130" t="s">
        <v>12</v>
      </c>
      <c r="F130" t="s">
        <v>13</v>
      </c>
      <c r="G130" t="s">
        <v>10</v>
      </c>
    </row>
    <row r="131" spans="1:7" x14ac:dyDescent="0.25">
      <c r="A131" t="s">
        <v>149</v>
      </c>
      <c r="B131" s="2">
        <v>12</v>
      </c>
      <c r="C131" s="2">
        <v>1</v>
      </c>
      <c r="D131" s="1">
        <v>2</v>
      </c>
      <c r="E131" t="s">
        <v>23</v>
      </c>
      <c r="F131" t="s">
        <v>30</v>
      </c>
      <c r="G131" t="s">
        <v>10</v>
      </c>
    </row>
    <row r="132" spans="1:7" x14ac:dyDescent="0.25">
      <c r="A132" t="s">
        <v>150</v>
      </c>
      <c r="B132" s="2">
        <v>714</v>
      </c>
      <c r="C132" s="2">
        <v>56</v>
      </c>
      <c r="D132" s="1">
        <v>4</v>
      </c>
      <c r="E132" t="s">
        <v>23</v>
      </c>
      <c r="F132" t="s">
        <v>26</v>
      </c>
      <c r="G132" t="s">
        <v>10</v>
      </c>
    </row>
    <row r="133" spans="1:7" x14ac:dyDescent="0.25">
      <c r="A133" t="s">
        <v>151</v>
      </c>
      <c r="B133" s="2">
        <v>50</v>
      </c>
      <c r="C133" s="2">
        <v>-15</v>
      </c>
      <c r="D133" s="1">
        <v>4</v>
      </c>
      <c r="E133" t="s">
        <v>23</v>
      </c>
      <c r="F133" t="s">
        <v>63</v>
      </c>
      <c r="G133" t="s">
        <v>10</v>
      </c>
    </row>
    <row r="134" spans="1:7" x14ac:dyDescent="0.25">
      <c r="A134" t="s">
        <v>152</v>
      </c>
      <c r="B134" s="2">
        <v>709</v>
      </c>
      <c r="C134" s="2">
        <v>-100</v>
      </c>
      <c r="D134" s="1">
        <v>5</v>
      </c>
      <c r="E134" t="s">
        <v>8</v>
      </c>
      <c r="F134" t="s">
        <v>21</v>
      </c>
      <c r="G134" t="s">
        <v>10</v>
      </c>
    </row>
    <row r="135" spans="1:7" x14ac:dyDescent="0.25">
      <c r="A135" t="s">
        <v>153</v>
      </c>
      <c r="B135" s="2">
        <v>21</v>
      </c>
      <c r="C135" s="2">
        <v>-12</v>
      </c>
      <c r="D135" s="1">
        <v>3</v>
      </c>
      <c r="E135" t="s">
        <v>23</v>
      </c>
      <c r="F135" t="s">
        <v>30</v>
      </c>
      <c r="G135" t="s">
        <v>82</v>
      </c>
    </row>
    <row r="136" spans="1:7" x14ac:dyDescent="0.25">
      <c r="A136" t="s">
        <v>154</v>
      </c>
      <c r="B136" s="2">
        <v>693</v>
      </c>
      <c r="C136" s="2">
        <v>254</v>
      </c>
      <c r="D136" s="1">
        <v>6</v>
      </c>
      <c r="E136" t="s">
        <v>23</v>
      </c>
      <c r="F136" t="s">
        <v>26</v>
      </c>
      <c r="G136" t="s">
        <v>10</v>
      </c>
    </row>
    <row r="137" spans="1:7" x14ac:dyDescent="0.25">
      <c r="A137" t="s">
        <v>111</v>
      </c>
      <c r="B137" s="2">
        <v>24</v>
      </c>
      <c r="C137" s="2">
        <v>1</v>
      </c>
      <c r="D137" s="1">
        <v>4</v>
      </c>
      <c r="E137" t="s">
        <v>23</v>
      </c>
      <c r="F137" t="s">
        <v>30</v>
      </c>
      <c r="G137" t="s">
        <v>10</v>
      </c>
    </row>
    <row r="138" spans="1:7" x14ac:dyDescent="0.25">
      <c r="A138" t="s">
        <v>155</v>
      </c>
      <c r="B138" s="2">
        <v>24</v>
      </c>
      <c r="C138" s="2">
        <v>1</v>
      </c>
      <c r="D138" s="1">
        <v>2</v>
      </c>
      <c r="E138" t="s">
        <v>23</v>
      </c>
      <c r="F138" t="s">
        <v>30</v>
      </c>
      <c r="G138" t="s">
        <v>28</v>
      </c>
    </row>
    <row r="139" spans="1:7" x14ac:dyDescent="0.25">
      <c r="A139" t="s">
        <v>113</v>
      </c>
      <c r="B139" s="2">
        <v>24</v>
      </c>
      <c r="C139" s="2">
        <v>1</v>
      </c>
      <c r="D139" s="1">
        <v>2</v>
      </c>
      <c r="E139" t="s">
        <v>23</v>
      </c>
      <c r="F139" t="s">
        <v>30</v>
      </c>
      <c r="G139" t="s">
        <v>10</v>
      </c>
    </row>
    <row r="140" spans="1:7" x14ac:dyDescent="0.25">
      <c r="A140" t="s">
        <v>156</v>
      </c>
      <c r="B140" s="2">
        <v>21</v>
      </c>
      <c r="C140" s="2">
        <v>10</v>
      </c>
      <c r="D140" s="1">
        <v>1</v>
      </c>
      <c r="E140" t="s">
        <v>23</v>
      </c>
      <c r="F140" t="s">
        <v>81</v>
      </c>
      <c r="G140" t="s">
        <v>82</v>
      </c>
    </row>
    <row r="141" spans="1:7" x14ac:dyDescent="0.25">
      <c r="A141" t="s">
        <v>157</v>
      </c>
      <c r="B141" s="2">
        <v>681</v>
      </c>
      <c r="C141" s="2">
        <v>259</v>
      </c>
      <c r="D141" s="1">
        <v>4</v>
      </c>
      <c r="E141" t="s">
        <v>12</v>
      </c>
      <c r="F141" t="s">
        <v>13</v>
      </c>
      <c r="G141" t="s">
        <v>10</v>
      </c>
    </row>
    <row r="142" spans="1:7" x14ac:dyDescent="0.25">
      <c r="A142" t="s">
        <v>158</v>
      </c>
      <c r="B142" s="2">
        <v>674</v>
      </c>
      <c r="C142" s="2">
        <v>-187</v>
      </c>
      <c r="D142" s="1">
        <v>2</v>
      </c>
      <c r="E142" t="s">
        <v>12</v>
      </c>
      <c r="F142" t="s">
        <v>45</v>
      </c>
      <c r="G142" t="s">
        <v>10</v>
      </c>
    </row>
    <row r="143" spans="1:7" x14ac:dyDescent="0.25">
      <c r="A143" t="s">
        <v>61</v>
      </c>
      <c r="B143" s="2">
        <v>671</v>
      </c>
      <c r="C143" s="2">
        <v>-309</v>
      </c>
      <c r="D143" s="1">
        <v>5</v>
      </c>
      <c r="E143" t="s">
        <v>8</v>
      </c>
      <c r="F143" t="s">
        <v>9</v>
      </c>
      <c r="G143" t="s">
        <v>10</v>
      </c>
    </row>
    <row r="144" spans="1:7" x14ac:dyDescent="0.25">
      <c r="A144" t="s">
        <v>159</v>
      </c>
      <c r="B144" s="2">
        <v>646</v>
      </c>
      <c r="C144" s="2">
        <v>-213</v>
      </c>
      <c r="D144" s="1">
        <v>3</v>
      </c>
      <c r="E144" t="s">
        <v>8</v>
      </c>
      <c r="F144" t="s">
        <v>9</v>
      </c>
      <c r="G144" t="s">
        <v>10</v>
      </c>
    </row>
    <row r="145" spans="1:7" x14ac:dyDescent="0.25">
      <c r="A145" t="s">
        <v>160</v>
      </c>
      <c r="B145" s="2">
        <v>40</v>
      </c>
      <c r="C145" s="2">
        <v>15</v>
      </c>
      <c r="D145" s="1">
        <v>1</v>
      </c>
      <c r="E145" t="s">
        <v>23</v>
      </c>
      <c r="F145" t="s">
        <v>32</v>
      </c>
      <c r="G145" t="s">
        <v>10</v>
      </c>
    </row>
    <row r="146" spans="1:7" x14ac:dyDescent="0.25">
      <c r="A146" t="s">
        <v>161</v>
      </c>
      <c r="B146" s="2">
        <v>24</v>
      </c>
      <c r="C146" s="2">
        <v>-2</v>
      </c>
      <c r="D146" s="1">
        <v>2</v>
      </c>
      <c r="E146" t="s">
        <v>23</v>
      </c>
      <c r="F146" t="s">
        <v>81</v>
      </c>
      <c r="G146" t="s">
        <v>10</v>
      </c>
    </row>
    <row r="147" spans="1:7" x14ac:dyDescent="0.25">
      <c r="A147" t="s">
        <v>46</v>
      </c>
      <c r="B147" s="2">
        <v>644</v>
      </c>
      <c r="C147" s="2">
        <v>167</v>
      </c>
      <c r="D147" s="1">
        <v>2</v>
      </c>
      <c r="E147" t="s">
        <v>8</v>
      </c>
      <c r="F147" t="s">
        <v>18</v>
      </c>
      <c r="G147" t="s">
        <v>10</v>
      </c>
    </row>
    <row r="148" spans="1:7" x14ac:dyDescent="0.25">
      <c r="A148" t="s">
        <v>162</v>
      </c>
      <c r="B148" s="2">
        <v>643</v>
      </c>
      <c r="C148" s="2">
        <v>225</v>
      </c>
      <c r="D148" s="1">
        <v>2</v>
      </c>
      <c r="E148" t="s">
        <v>8</v>
      </c>
      <c r="F148" t="s">
        <v>18</v>
      </c>
      <c r="G148" t="s">
        <v>10</v>
      </c>
    </row>
    <row r="149" spans="1:7" x14ac:dyDescent="0.25">
      <c r="A149" t="s">
        <v>163</v>
      </c>
      <c r="B149" s="2">
        <v>632</v>
      </c>
      <c r="C149" s="2">
        <v>-316</v>
      </c>
      <c r="D149" s="1">
        <v>6</v>
      </c>
      <c r="E149" t="s">
        <v>23</v>
      </c>
      <c r="F149" t="s">
        <v>26</v>
      </c>
      <c r="G149" t="s">
        <v>10</v>
      </c>
    </row>
    <row r="150" spans="1:7" x14ac:dyDescent="0.25">
      <c r="A150" t="s">
        <v>112</v>
      </c>
      <c r="B150" s="2">
        <v>632</v>
      </c>
      <c r="C150" s="2">
        <v>316</v>
      </c>
      <c r="D150" s="1">
        <v>6</v>
      </c>
      <c r="E150" t="s">
        <v>23</v>
      </c>
      <c r="F150" t="s">
        <v>26</v>
      </c>
      <c r="G150" t="s">
        <v>10</v>
      </c>
    </row>
    <row r="151" spans="1:7" x14ac:dyDescent="0.25">
      <c r="A151" t="s">
        <v>164</v>
      </c>
      <c r="B151" s="2">
        <v>610</v>
      </c>
      <c r="C151" s="2">
        <v>208</v>
      </c>
      <c r="D151" s="1">
        <v>3</v>
      </c>
      <c r="E151" t="s">
        <v>8</v>
      </c>
      <c r="F151" t="s">
        <v>18</v>
      </c>
      <c r="G151" t="s">
        <v>10</v>
      </c>
    </row>
    <row r="152" spans="1:7" x14ac:dyDescent="0.25">
      <c r="A152" t="s">
        <v>122</v>
      </c>
      <c r="B152" s="2">
        <v>78</v>
      </c>
      <c r="C152" s="2">
        <v>-28</v>
      </c>
      <c r="D152" s="1">
        <v>6</v>
      </c>
      <c r="E152" t="s">
        <v>23</v>
      </c>
      <c r="F152" t="s">
        <v>32</v>
      </c>
      <c r="G152" t="s">
        <v>28</v>
      </c>
    </row>
    <row r="153" spans="1:7" x14ac:dyDescent="0.25">
      <c r="A153" t="s">
        <v>165</v>
      </c>
      <c r="B153" s="2">
        <v>595</v>
      </c>
      <c r="C153" s="2">
        <v>119</v>
      </c>
      <c r="D153" s="1">
        <v>4</v>
      </c>
      <c r="E153" t="s">
        <v>12</v>
      </c>
      <c r="F153" t="s">
        <v>16</v>
      </c>
      <c r="G153" t="s">
        <v>10</v>
      </c>
    </row>
    <row r="154" spans="1:7" x14ac:dyDescent="0.25">
      <c r="A154" t="s">
        <v>166</v>
      </c>
      <c r="B154" s="2">
        <v>595</v>
      </c>
      <c r="C154" s="2">
        <v>292</v>
      </c>
      <c r="D154" s="1">
        <v>3</v>
      </c>
      <c r="E154" t="s">
        <v>23</v>
      </c>
      <c r="F154" t="s">
        <v>26</v>
      </c>
      <c r="G154" t="s">
        <v>10</v>
      </c>
    </row>
    <row r="155" spans="1:7" x14ac:dyDescent="0.25">
      <c r="A155" t="s">
        <v>17</v>
      </c>
      <c r="B155" s="2">
        <v>852</v>
      </c>
      <c r="C155" s="2">
        <v>51</v>
      </c>
      <c r="D155" s="1">
        <v>5</v>
      </c>
      <c r="E155" t="s">
        <v>12</v>
      </c>
      <c r="F155" t="s">
        <v>16</v>
      </c>
      <c r="G155" t="s">
        <v>19</v>
      </c>
    </row>
    <row r="156" spans="1:7" x14ac:dyDescent="0.25">
      <c r="A156" t="s">
        <v>167</v>
      </c>
      <c r="B156" s="2">
        <v>594</v>
      </c>
      <c r="C156" s="2">
        <v>89</v>
      </c>
      <c r="D156" s="1">
        <v>3</v>
      </c>
      <c r="E156" t="s">
        <v>12</v>
      </c>
      <c r="F156" t="s">
        <v>16</v>
      </c>
      <c r="G156" t="s">
        <v>10</v>
      </c>
    </row>
    <row r="157" spans="1:7" x14ac:dyDescent="0.25">
      <c r="A157" t="s">
        <v>168</v>
      </c>
      <c r="B157" s="2">
        <v>585</v>
      </c>
      <c r="C157" s="2">
        <v>175</v>
      </c>
      <c r="D157" s="1">
        <v>13</v>
      </c>
      <c r="E157" t="s">
        <v>23</v>
      </c>
      <c r="F157" t="s">
        <v>81</v>
      </c>
      <c r="G157" t="s">
        <v>10</v>
      </c>
    </row>
    <row r="158" spans="1:7" x14ac:dyDescent="0.25">
      <c r="A158" t="s">
        <v>169</v>
      </c>
      <c r="B158" s="2">
        <v>582</v>
      </c>
      <c r="C158" s="2">
        <v>262</v>
      </c>
      <c r="D158" s="1">
        <v>5</v>
      </c>
      <c r="E158" t="s">
        <v>12</v>
      </c>
      <c r="F158" t="s">
        <v>131</v>
      </c>
      <c r="G158" t="s">
        <v>10</v>
      </c>
    </row>
    <row r="159" spans="1:7" x14ac:dyDescent="0.25">
      <c r="A159" t="s">
        <v>170</v>
      </c>
      <c r="B159" s="2">
        <v>845</v>
      </c>
      <c r="C159" s="2">
        <v>84</v>
      </c>
      <c r="D159" s="1">
        <v>7</v>
      </c>
      <c r="E159" t="s">
        <v>23</v>
      </c>
      <c r="F159" t="s">
        <v>26</v>
      </c>
      <c r="G159" t="s">
        <v>19</v>
      </c>
    </row>
    <row r="160" spans="1:7" x14ac:dyDescent="0.25">
      <c r="A160" t="s">
        <v>171</v>
      </c>
      <c r="B160" s="2">
        <v>829</v>
      </c>
      <c r="C160" s="2">
        <v>19</v>
      </c>
      <c r="D160" s="1">
        <v>4</v>
      </c>
      <c r="E160" t="s">
        <v>8</v>
      </c>
      <c r="F160" t="s">
        <v>18</v>
      </c>
      <c r="G160" t="s">
        <v>19</v>
      </c>
    </row>
    <row r="161" spans="1:7" x14ac:dyDescent="0.25">
      <c r="A161" t="s">
        <v>20</v>
      </c>
      <c r="B161" s="2">
        <v>561</v>
      </c>
      <c r="C161" s="2">
        <v>212</v>
      </c>
      <c r="D161" s="1">
        <v>3</v>
      </c>
      <c r="E161" t="s">
        <v>23</v>
      </c>
      <c r="F161" t="s">
        <v>26</v>
      </c>
      <c r="G161" t="s">
        <v>10</v>
      </c>
    </row>
    <row r="162" spans="1:7" x14ac:dyDescent="0.25">
      <c r="A162" t="s">
        <v>103</v>
      </c>
      <c r="B162" s="2">
        <v>771</v>
      </c>
      <c r="C162" s="2">
        <v>-424</v>
      </c>
      <c r="D162" s="1">
        <v>2</v>
      </c>
      <c r="E162" t="s">
        <v>8</v>
      </c>
      <c r="F162" t="s">
        <v>21</v>
      </c>
      <c r="G162" t="s">
        <v>19</v>
      </c>
    </row>
    <row r="163" spans="1:7" x14ac:dyDescent="0.25">
      <c r="A163" t="s">
        <v>172</v>
      </c>
      <c r="B163" s="2">
        <v>765</v>
      </c>
      <c r="C163" s="2">
        <v>8</v>
      </c>
      <c r="D163" s="1">
        <v>6</v>
      </c>
      <c r="E163" t="s">
        <v>23</v>
      </c>
      <c r="F163" t="s">
        <v>26</v>
      </c>
      <c r="G163" t="s">
        <v>14</v>
      </c>
    </row>
    <row r="164" spans="1:7" x14ac:dyDescent="0.25">
      <c r="A164" t="s">
        <v>173</v>
      </c>
      <c r="B164" s="2">
        <v>31</v>
      </c>
      <c r="C164" s="2">
        <v>2</v>
      </c>
      <c r="D164" s="1">
        <v>2</v>
      </c>
      <c r="E164" t="s">
        <v>23</v>
      </c>
      <c r="F164" t="s">
        <v>30</v>
      </c>
      <c r="G164" t="s">
        <v>10</v>
      </c>
    </row>
    <row r="165" spans="1:7" x14ac:dyDescent="0.25">
      <c r="A165" t="s">
        <v>174</v>
      </c>
      <c r="B165" s="2">
        <v>557</v>
      </c>
      <c r="C165" s="2">
        <v>-111</v>
      </c>
      <c r="D165" s="1">
        <v>2</v>
      </c>
      <c r="E165" t="s">
        <v>8</v>
      </c>
      <c r="F165" t="s">
        <v>9</v>
      </c>
      <c r="G165" t="s">
        <v>10</v>
      </c>
    </row>
    <row r="166" spans="1:7" x14ac:dyDescent="0.25">
      <c r="A166" t="s">
        <v>172</v>
      </c>
      <c r="B166" s="2">
        <v>757</v>
      </c>
      <c r="C166" s="2">
        <v>371</v>
      </c>
      <c r="D166" s="1">
        <v>2</v>
      </c>
      <c r="E166" t="s">
        <v>8</v>
      </c>
      <c r="F166" t="s">
        <v>18</v>
      </c>
      <c r="G166" t="s">
        <v>19</v>
      </c>
    </row>
    <row r="167" spans="1:7" x14ac:dyDescent="0.25">
      <c r="A167" t="s">
        <v>175</v>
      </c>
      <c r="B167" s="2">
        <v>545</v>
      </c>
      <c r="C167" s="2">
        <v>-73</v>
      </c>
      <c r="D167" s="1">
        <v>11</v>
      </c>
      <c r="E167" t="s">
        <v>8</v>
      </c>
      <c r="F167" t="s">
        <v>21</v>
      </c>
      <c r="G167" t="s">
        <v>10</v>
      </c>
    </row>
    <row r="168" spans="1:7" x14ac:dyDescent="0.25">
      <c r="A168" t="s">
        <v>176</v>
      </c>
      <c r="B168" s="2">
        <v>1052</v>
      </c>
      <c r="C168" s="2">
        <v>-82</v>
      </c>
      <c r="D168" s="1">
        <v>3</v>
      </c>
      <c r="E168" t="s">
        <v>12</v>
      </c>
      <c r="F168" t="s">
        <v>16</v>
      </c>
      <c r="G168" t="s">
        <v>28</v>
      </c>
    </row>
    <row r="169" spans="1:7" x14ac:dyDescent="0.25">
      <c r="A169" t="s">
        <v>177</v>
      </c>
      <c r="B169" s="2">
        <v>544</v>
      </c>
      <c r="C169" s="2">
        <v>-152</v>
      </c>
      <c r="D169" s="1">
        <v>3</v>
      </c>
      <c r="E169" t="s">
        <v>12</v>
      </c>
      <c r="F169" t="s">
        <v>16</v>
      </c>
      <c r="G169" t="s">
        <v>10</v>
      </c>
    </row>
    <row r="170" spans="1:7" x14ac:dyDescent="0.25">
      <c r="A170" t="s">
        <v>178</v>
      </c>
      <c r="B170" s="2">
        <v>22</v>
      </c>
      <c r="C170" s="2">
        <v>9</v>
      </c>
      <c r="D170" s="1">
        <v>2</v>
      </c>
      <c r="E170" t="s">
        <v>23</v>
      </c>
      <c r="F170" t="s">
        <v>63</v>
      </c>
      <c r="G170" t="s">
        <v>82</v>
      </c>
    </row>
    <row r="171" spans="1:7" x14ac:dyDescent="0.25">
      <c r="A171" t="s">
        <v>48</v>
      </c>
      <c r="B171" s="2">
        <v>757</v>
      </c>
      <c r="C171" s="2">
        <v>371</v>
      </c>
      <c r="D171" s="1">
        <v>2</v>
      </c>
      <c r="E171" t="s">
        <v>8</v>
      </c>
      <c r="F171" t="s">
        <v>18</v>
      </c>
      <c r="G171" t="s">
        <v>19</v>
      </c>
    </row>
    <row r="172" spans="1:7" x14ac:dyDescent="0.25">
      <c r="A172" t="s">
        <v>179</v>
      </c>
      <c r="B172" s="2">
        <v>742</v>
      </c>
      <c r="C172" s="2">
        <v>198</v>
      </c>
      <c r="D172" s="1">
        <v>2</v>
      </c>
      <c r="E172" t="s">
        <v>12</v>
      </c>
      <c r="F172" t="s">
        <v>16</v>
      </c>
      <c r="G172" t="s">
        <v>19</v>
      </c>
    </row>
    <row r="173" spans="1:7" x14ac:dyDescent="0.25">
      <c r="A173" t="s">
        <v>180</v>
      </c>
      <c r="B173" s="2">
        <v>537</v>
      </c>
      <c r="C173" s="2">
        <v>107</v>
      </c>
      <c r="D173" s="1">
        <v>3</v>
      </c>
      <c r="E173" t="s">
        <v>23</v>
      </c>
      <c r="F173" t="s">
        <v>26</v>
      </c>
      <c r="G173" t="s">
        <v>10</v>
      </c>
    </row>
    <row r="174" spans="1:7" x14ac:dyDescent="0.25">
      <c r="A174" t="s">
        <v>172</v>
      </c>
      <c r="B174" s="2">
        <v>536</v>
      </c>
      <c r="C174" s="2">
        <v>91</v>
      </c>
      <c r="D174" s="1">
        <v>1</v>
      </c>
      <c r="E174" t="s">
        <v>23</v>
      </c>
      <c r="F174" t="s">
        <v>24</v>
      </c>
      <c r="G174" t="s">
        <v>10</v>
      </c>
    </row>
    <row r="175" spans="1:7" x14ac:dyDescent="0.25">
      <c r="A175" t="s">
        <v>123</v>
      </c>
      <c r="B175" s="2">
        <v>6</v>
      </c>
      <c r="C175" s="2">
        <v>3</v>
      </c>
      <c r="D175" s="1">
        <v>1</v>
      </c>
      <c r="E175" t="s">
        <v>23</v>
      </c>
      <c r="F175" t="s">
        <v>30</v>
      </c>
      <c r="G175" t="s">
        <v>10</v>
      </c>
    </row>
    <row r="176" spans="1:7" x14ac:dyDescent="0.25">
      <c r="A176" t="s">
        <v>7</v>
      </c>
      <c r="B176" s="2">
        <v>523</v>
      </c>
      <c r="C176" s="2">
        <v>204</v>
      </c>
      <c r="D176" s="1">
        <v>7</v>
      </c>
      <c r="E176" t="s">
        <v>23</v>
      </c>
      <c r="F176" t="s">
        <v>24</v>
      </c>
      <c r="G176" t="s">
        <v>10</v>
      </c>
    </row>
    <row r="177" spans="1:7" x14ac:dyDescent="0.25">
      <c r="A177" t="s">
        <v>181</v>
      </c>
      <c r="B177" s="2">
        <v>27</v>
      </c>
      <c r="C177" s="2">
        <v>9</v>
      </c>
      <c r="D177" s="1">
        <v>2</v>
      </c>
      <c r="E177" t="s">
        <v>23</v>
      </c>
      <c r="F177" t="s">
        <v>81</v>
      </c>
      <c r="G177" t="s">
        <v>28</v>
      </c>
    </row>
    <row r="178" spans="1:7" x14ac:dyDescent="0.25">
      <c r="A178" t="s">
        <v>182</v>
      </c>
      <c r="B178" s="2">
        <v>516</v>
      </c>
      <c r="C178" s="2">
        <v>392</v>
      </c>
      <c r="D178" s="1">
        <v>8</v>
      </c>
      <c r="E178" t="s">
        <v>12</v>
      </c>
      <c r="F178" t="s">
        <v>13</v>
      </c>
      <c r="G178" t="s">
        <v>10</v>
      </c>
    </row>
    <row r="179" spans="1:7" x14ac:dyDescent="0.25">
      <c r="A179" t="s">
        <v>183</v>
      </c>
      <c r="B179" s="2">
        <v>504</v>
      </c>
      <c r="C179" s="2">
        <v>116</v>
      </c>
      <c r="D179" s="1">
        <v>3</v>
      </c>
      <c r="E179" t="s">
        <v>12</v>
      </c>
      <c r="F179" t="s">
        <v>16</v>
      </c>
      <c r="G179" t="s">
        <v>10</v>
      </c>
    </row>
    <row r="180" spans="1:7" x14ac:dyDescent="0.25">
      <c r="A180" t="s">
        <v>184</v>
      </c>
      <c r="B180" s="2">
        <v>502</v>
      </c>
      <c r="C180" s="2">
        <v>84</v>
      </c>
      <c r="D180" s="1">
        <v>4</v>
      </c>
      <c r="E180" t="s">
        <v>8</v>
      </c>
      <c r="F180" t="s">
        <v>21</v>
      </c>
      <c r="G180" t="s">
        <v>10</v>
      </c>
    </row>
    <row r="181" spans="1:7" x14ac:dyDescent="0.25">
      <c r="A181" t="s">
        <v>185</v>
      </c>
      <c r="B181" s="2">
        <v>734</v>
      </c>
      <c r="C181" s="2">
        <v>213</v>
      </c>
      <c r="D181" s="1">
        <v>6</v>
      </c>
      <c r="E181" t="s">
        <v>8</v>
      </c>
      <c r="F181" t="s">
        <v>9</v>
      </c>
      <c r="G181" t="s">
        <v>19</v>
      </c>
    </row>
    <row r="182" spans="1:7" x14ac:dyDescent="0.25">
      <c r="A182" t="s">
        <v>186</v>
      </c>
      <c r="B182" s="2">
        <v>42</v>
      </c>
      <c r="C182" s="2">
        <v>12</v>
      </c>
      <c r="D182" s="1">
        <v>2</v>
      </c>
      <c r="E182" t="s">
        <v>23</v>
      </c>
      <c r="F182" t="s">
        <v>32</v>
      </c>
      <c r="G182" t="s">
        <v>10</v>
      </c>
    </row>
    <row r="183" spans="1:7" x14ac:dyDescent="0.25">
      <c r="A183" t="s">
        <v>187</v>
      </c>
      <c r="B183" s="2">
        <v>29</v>
      </c>
      <c r="C183" s="2">
        <v>11</v>
      </c>
      <c r="D183" s="1">
        <v>4</v>
      </c>
      <c r="E183" t="s">
        <v>23</v>
      </c>
      <c r="F183" t="s">
        <v>43</v>
      </c>
      <c r="G183" t="s">
        <v>10</v>
      </c>
    </row>
    <row r="184" spans="1:7" x14ac:dyDescent="0.25">
      <c r="A184" t="s">
        <v>188</v>
      </c>
      <c r="B184" s="2">
        <v>240</v>
      </c>
      <c r="C184" s="2">
        <v>12</v>
      </c>
      <c r="D184" s="1">
        <v>6</v>
      </c>
      <c r="E184" t="s">
        <v>23</v>
      </c>
      <c r="F184" t="s">
        <v>32</v>
      </c>
      <c r="G184" t="s">
        <v>28</v>
      </c>
    </row>
    <row r="185" spans="1:7" x14ac:dyDescent="0.25">
      <c r="A185" t="s">
        <v>189</v>
      </c>
      <c r="B185" s="2">
        <v>496</v>
      </c>
      <c r="C185" s="2">
        <v>-79</v>
      </c>
      <c r="D185" s="1">
        <v>2</v>
      </c>
      <c r="E185" t="s">
        <v>23</v>
      </c>
      <c r="F185" t="s">
        <v>24</v>
      </c>
      <c r="G185" t="s">
        <v>10</v>
      </c>
    </row>
    <row r="186" spans="1:7" x14ac:dyDescent="0.25">
      <c r="A186" t="s">
        <v>190</v>
      </c>
      <c r="B186" s="2">
        <v>485</v>
      </c>
      <c r="C186" s="2">
        <v>29</v>
      </c>
      <c r="D186" s="1">
        <v>4</v>
      </c>
      <c r="E186" t="s">
        <v>8</v>
      </c>
      <c r="F186" t="s">
        <v>9</v>
      </c>
      <c r="G186" t="s">
        <v>10</v>
      </c>
    </row>
    <row r="187" spans="1:7" x14ac:dyDescent="0.25">
      <c r="A187" t="s">
        <v>191</v>
      </c>
      <c r="B187" s="2">
        <v>31</v>
      </c>
      <c r="C187" s="2">
        <v>-11</v>
      </c>
      <c r="D187" s="1">
        <v>3</v>
      </c>
      <c r="E187" t="s">
        <v>23</v>
      </c>
      <c r="F187" t="s">
        <v>43</v>
      </c>
      <c r="G187" t="s">
        <v>28</v>
      </c>
    </row>
    <row r="188" spans="1:7" x14ac:dyDescent="0.25">
      <c r="A188" t="s">
        <v>192</v>
      </c>
      <c r="B188" s="2">
        <v>676</v>
      </c>
      <c r="C188" s="2">
        <v>151</v>
      </c>
      <c r="D188" s="1">
        <v>3</v>
      </c>
      <c r="E188" t="s">
        <v>8</v>
      </c>
      <c r="F188" t="s">
        <v>18</v>
      </c>
      <c r="G188" t="s">
        <v>19</v>
      </c>
    </row>
    <row r="189" spans="1:7" x14ac:dyDescent="0.25">
      <c r="A189" t="s">
        <v>157</v>
      </c>
      <c r="B189" s="2">
        <v>23</v>
      </c>
      <c r="C189" s="2">
        <v>8</v>
      </c>
      <c r="D189" s="1">
        <v>2</v>
      </c>
      <c r="E189" t="s">
        <v>23</v>
      </c>
      <c r="F189" t="s">
        <v>30</v>
      </c>
      <c r="G189" t="s">
        <v>82</v>
      </c>
    </row>
    <row r="190" spans="1:7" x14ac:dyDescent="0.25">
      <c r="A190" t="s">
        <v>193</v>
      </c>
      <c r="B190" s="2">
        <v>13</v>
      </c>
      <c r="C190" s="2">
        <v>3</v>
      </c>
      <c r="D190" s="1">
        <v>2</v>
      </c>
      <c r="E190" t="s">
        <v>23</v>
      </c>
      <c r="F190" t="s">
        <v>30</v>
      </c>
      <c r="G190" t="s">
        <v>10</v>
      </c>
    </row>
    <row r="191" spans="1:7" x14ac:dyDescent="0.25">
      <c r="A191" t="s">
        <v>194</v>
      </c>
      <c r="B191" s="2">
        <v>180</v>
      </c>
      <c r="C191" s="2">
        <v>0</v>
      </c>
      <c r="D191" s="1">
        <v>8</v>
      </c>
      <c r="E191" t="s">
        <v>23</v>
      </c>
      <c r="F191" t="s">
        <v>57</v>
      </c>
      <c r="G191" t="s">
        <v>10</v>
      </c>
    </row>
    <row r="192" spans="1:7" x14ac:dyDescent="0.25">
      <c r="A192" t="s">
        <v>11</v>
      </c>
      <c r="B192" s="2">
        <v>671</v>
      </c>
      <c r="C192" s="2">
        <v>114</v>
      </c>
      <c r="D192" s="1">
        <v>9</v>
      </c>
      <c r="E192" t="s">
        <v>8</v>
      </c>
      <c r="F192" t="s">
        <v>21</v>
      </c>
      <c r="G192" t="s">
        <v>19</v>
      </c>
    </row>
    <row r="193" spans="1:7" x14ac:dyDescent="0.25">
      <c r="A193" t="s">
        <v>195</v>
      </c>
      <c r="B193" s="2">
        <v>22</v>
      </c>
      <c r="C193" s="2">
        <v>11</v>
      </c>
      <c r="D193" s="1">
        <v>3</v>
      </c>
      <c r="E193" t="s">
        <v>23</v>
      </c>
      <c r="F193" t="s">
        <v>32</v>
      </c>
      <c r="G193" t="s">
        <v>10</v>
      </c>
    </row>
    <row r="194" spans="1:7" x14ac:dyDescent="0.25">
      <c r="A194" t="s">
        <v>117</v>
      </c>
      <c r="B194" s="2">
        <v>668</v>
      </c>
      <c r="C194" s="2">
        <v>-31</v>
      </c>
      <c r="D194" s="1">
        <v>3</v>
      </c>
      <c r="E194" t="s">
        <v>8</v>
      </c>
      <c r="F194" t="s">
        <v>18</v>
      </c>
      <c r="G194" t="s">
        <v>19</v>
      </c>
    </row>
    <row r="195" spans="1:7" x14ac:dyDescent="0.25">
      <c r="A195" t="s">
        <v>122</v>
      </c>
      <c r="B195" s="2">
        <v>145</v>
      </c>
      <c r="C195" s="2">
        <v>0</v>
      </c>
      <c r="D195" s="1">
        <v>3</v>
      </c>
      <c r="E195" t="s">
        <v>23</v>
      </c>
      <c r="F195" t="s">
        <v>26</v>
      </c>
      <c r="G195" t="s">
        <v>28</v>
      </c>
    </row>
    <row r="196" spans="1:7" x14ac:dyDescent="0.25">
      <c r="A196" t="s">
        <v>196</v>
      </c>
      <c r="B196" s="2">
        <v>24</v>
      </c>
      <c r="C196" s="2">
        <v>8</v>
      </c>
      <c r="D196" s="1">
        <v>2</v>
      </c>
      <c r="E196" t="s">
        <v>23</v>
      </c>
      <c r="F196" t="s">
        <v>43</v>
      </c>
      <c r="G196" t="s">
        <v>82</v>
      </c>
    </row>
    <row r="197" spans="1:7" x14ac:dyDescent="0.25">
      <c r="A197" t="s">
        <v>87</v>
      </c>
      <c r="B197" s="2">
        <v>476</v>
      </c>
      <c r="C197" s="2">
        <v>0</v>
      </c>
      <c r="D197" s="1">
        <v>3</v>
      </c>
      <c r="E197" t="s">
        <v>12</v>
      </c>
      <c r="F197" t="s">
        <v>13</v>
      </c>
      <c r="G197" t="s">
        <v>10</v>
      </c>
    </row>
    <row r="198" spans="1:7" x14ac:dyDescent="0.25">
      <c r="A198" t="s">
        <v>185</v>
      </c>
      <c r="B198" s="2">
        <v>24</v>
      </c>
      <c r="C198" s="2">
        <v>11</v>
      </c>
      <c r="D198" s="1">
        <v>5</v>
      </c>
      <c r="E198" t="s">
        <v>23</v>
      </c>
      <c r="F198" t="s">
        <v>30</v>
      </c>
      <c r="G198" t="s">
        <v>82</v>
      </c>
    </row>
    <row r="199" spans="1:7" x14ac:dyDescent="0.25">
      <c r="A199" t="s">
        <v>22</v>
      </c>
      <c r="B199" s="2">
        <v>37</v>
      </c>
      <c r="C199" s="2">
        <v>3</v>
      </c>
      <c r="D199" s="1">
        <v>3</v>
      </c>
      <c r="E199" t="s">
        <v>23</v>
      </c>
      <c r="F199" t="s">
        <v>30</v>
      </c>
      <c r="G199" t="s">
        <v>10</v>
      </c>
    </row>
    <row r="200" spans="1:7" x14ac:dyDescent="0.25">
      <c r="A200" t="s">
        <v>197</v>
      </c>
      <c r="B200" s="2">
        <v>152</v>
      </c>
      <c r="C200" s="2">
        <v>50</v>
      </c>
      <c r="D200" s="1">
        <v>6</v>
      </c>
      <c r="E200" t="s">
        <v>23</v>
      </c>
      <c r="F200" t="s">
        <v>57</v>
      </c>
      <c r="G200" t="s">
        <v>28</v>
      </c>
    </row>
    <row r="201" spans="1:7" x14ac:dyDescent="0.25">
      <c r="A201" t="s">
        <v>198</v>
      </c>
      <c r="B201" s="2">
        <v>32</v>
      </c>
      <c r="C201" s="2">
        <v>11</v>
      </c>
      <c r="D201" s="1">
        <v>2</v>
      </c>
      <c r="E201" t="s">
        <v>23</v>
      </c>
      <c r="F201" t="s">
        <v>63</v>
      </c>
      <c r="G201" t="s">
        <v>28</v>
      </c>
    </row>
    <row r="202" spans="1:7" x14ac:dyDescent="0.25">
      <c r="A202" t="s">
        <v>199</v>
      </c>
      <c r="B202" s="2">
        <v>52</v>
      </c>
      <c r="C202" s="2">
        <v>11</v>
      </c>
      <c r="D202" s="1">
        <v>5</v>
      </c>
      <c r="E202" t="s">
        <v>23</v>
      </c>
      <c r="F202" t="s">
        <v>63</v>
      </c>
      <c r="G202" t="s">
        <v>10</v>
      </c>
    </row>
    <row r="203" spans="1:7" x14ac:dyDescent="0.25">
      <c r="A203" t="s">
        <v>200</v>
      </c>
      <c r="B203" s="2">
        <v>24</v>
      </c>
      <c r="C203" s="2">
        <v>11</v>
      </c>
      <c r="D203" s="1">
        <v>3</v>
      </c>
      <c r="E203" t="s">
        <v>23</v>
      </c>
      <c r="F203" t="s">
        <v>30</v>
      </c>
      <c r="G203" t="s">
        <v>82</v>
      </c>
    </row>
    <row r="204" spans="1:7" x14ac:dyDescent="0.25">
      <c r="A204" t="s">
        <v>121</v>
      </c>
      <c r="B204" s="2">
        <v>473</v>
      </c>
      <c r="C204" s="2">
        <v>42</v>
      </c>
      <c r="D204" s="1">
        <v>4</v>
      </c>
      <c r="E204" t="s">
        <v>12</v>
      </c>
      <c r="F204" t="s">
        <v>13</v>
      </c>
      <c r="G204" t="s">
        <v>10</v>
      </c>
    </row>
    <row r="205" spans="1:7" x14ac:dyDescent="0.25">
      <c r="A205" t="s">
        <v>201</v>
      </c>
      <c r="B205" s="2">
        <v>263</v>
      </c>
      <c r="C205" s="2">
        <v>50</v>
      </c>
      <c r="D205" s="1">
        <v>5</v>
      </c>
      <c r="E205" t="s">
        <v>23</v>
      </c>
      <c r="F205" t="s">
        <v>57</v>
      </c>
      <c r="G205" t="s">
        <v>10</v>
      </c>
    </row>
    <row r="206" spans="1:7" x14ac:dyDescent="0.25">
      <c r="A206" t="s">
        <v>202</v>
      </c>
      <c r="B206" s="2">
        <v>61</v>
      </c>
      <c r="C206" s="2">
        <v>11</v>
      </c>
      <c r="D206" s="1">
        <v>3</v>
      </c>
      <c r="E206" t="s">
        <v>23</v>
      </c>
      <c r="F206" t="s">
        <v>32</v>
      </c>
      <c r="G206" t="s">
        <v>10</v>
      </c>
    </row>
    <row r="207" spans="1:7" x14ac:dyDescent="0.25">
      <c r="A207" t="s">
        <v>203</v>
      </c>
      <c r="B207" s="2">
        <v>469</v>
      </c>
      <c r="C207" s="2">
        <v>-459</v>
      </c>
      <c r="D207" s="1">
        <v>3</v>
      </c>
      <c r="E207" t="s">
        <v>8</v>
      </c>
      <c r="F207" t="s">
        <v>9</v>
      </c>
      <c r="G207" t="s">
        <v>10</v>
      </c>
    </row>
    <row r="208" spans="1:7" x14ac:dyDescent="0.25">
      <c r="A208" t="s">
        <v>204</v>
      </c>
      <c r="B208" s="2">
        <v>1272</v>
      </c>
      <c r="C208" s="2">
        <v>547</v>
      </c>
      <c r="D208" s="1">
        <v>2</v>
      </c>
      <c r="E208" t="s">
        <v>8</v>
      </c>
      <c r="F208" t="s">
        <v>21</v>
      </c>
      <c r="G208" t="s">
        <v>10</v>
      </c>
    </row>
    <row r="209" spans="1:7" x14ac:dyDescent="0.25">
      <c r="A209" t="s">
        <v>200</v>
      </c>
      <c r="B209" s="2">
        <v>169</v>
      </c>
      <c r="C209" s="2">
        <v>0</v>
      </c>
      <c r="D209" s="1">
        <v>3</v>
      </c>
      <c r="E209" t="s">
        <v>8</v>
      </c>
      <c r="F209" t="s">
        <v>73</v>
      </c>
      <c r="G209" t="s">
        <v>10</v>
      </c>
    </row>
    <row r="210" spans="1:7" x14ac:dyDescent="0.25">
      <c r="A210" t="s">
        <v>134</v>
      </c>
      <c r="B210" s="2">
        <v>25</v>
      </c>
      <c r="C210" s="2">
        <v>11</v>
      </c>
      <c r="D210" s="1">
        <v>3</v>
      </c>
      <c r="E210" t="s">
        <v>23</v>
      </c>
      <c r="F210" t="s">
        <v>63</v>
      </c>
      <c r="G210" t="s">
        <v>82</v>
      </c>
    </row>
    <row r="211" spans="1:7" x14ac:dyDescent="0.25">
      <c r="A211" t="s">
        <v>119</v>
      </c>
      <c r="B211" s="2">
        <v>457</v>
      </c>
      <c r="C211" s="2">
        <v>-41</v>
      </c>
      <c r="D211" s="1">
        <v>4</v>
      </c>
      <c r="E211" t="s">
        <v>23</v>
      </c>
      <c r="F211" t="s">
        <v>26</v>
      </c>
      <c r="G211" t="s">
        <v>10</v>
      </c>
    </row>
    <row r="212" spans="1:7" x14ac:dyDescent="0.25">
      <c r="A212" t="s">
        <v>134</v>
      </c>
      <c r="B212" s="2">
        <v>455</v>
      </c>
      <c r="C212" s="2">
        <v>77</v>
      </c>
      <c r="D212" s="1">
        <v>8</v>
      </c>
      <c r="E212" t="s">
        <v>8</v>
      </c>
      <c r="F212" t="s">
        <v>73</v>
      </c>
      <c r="G212" t="s">
        <v>10</v>
      </c>
    </row>
    <row r="213" spans="1:7" x14ac:dyDescent="0.25">
      <c r="A213" t="s">
        <v>126</v>
      </c>
      <c r="B213" s="2">
        <v>25</v>
      </c>
      <c r="C213" s="2">
        <v>2</v>
      </c>
      <c r="D213" s="1">
        <v>2</v>
      </c>
      <c r="E213" t="s">
        <v>23</v>
      </c>
      <c r="F213" t="s">
        <v>30</v>
      </c>
      <c r="G213" t="s">
        <v>82</v>
      </c>
    </row>
    <row r="214" spans="1:7" x14ac:dyDescent="0.25">
      <c r="A214" t="s">
        <v>205</v>
      </c>
      <c r="B214" s="2">
        <v>450</v>
      </c>
      <c r="C214" s="2">
        <v>-90</v>
      </c>
      <c r="D214" s="1">
        <v>3</v>
      </c>
      <c r="E214" t="s">
        <v>8</v>
      </c>
      <c r="F214" t="s">
        <v>18</v>
      </c>
      <c r="G214" t="s">
        <v>10</v>
      </c>
    </row>
    <row r="215" spans="1:7" x14ac:dyDescent="0.25">
      <c r="A215" t="s">
        <v>206</v>
      </c>
      <c r="B215" s="2">
        <v>30</v>
      </c>
      <c r="C215" s="2">
        <v>-35</v>
      </c>
      <c r="D215" s="1">
        <v>1</v>
      </c>
      <c r="E215" t="s">
        <v>12</v>
      </c>
      <c r="F215" t="s">
        <v>13</v>
      </c>
      <c r="G215" t="s">
        <v>10</v>
      </c>
    </row>
    <row r="216" spans="1:7" x14ac:dyDescent="0.25">
      <c r="A216" t="s">
        <v>207</v>
      </c>
      <c r="B216" s="2">
        <v>659</v>
      </c>
      <c r="C216" s="2">
        <v>-37</v>
      </c>
      <c r="D216" s="1">
        <v>2</v>
      </c>
      <c r="E216" t="s">
        <v>12</v>
      </c>
      <c r="F216" t="s">
        <v>16</v>
      </c>
      <c r="G216" t="s">
        <v>19</v>
      </c>
    </row>
    <row r="217" spans="1:7" x14ac:dyDescent="0.25">
      <c r="A217" t="s">
        <v>208</v>
      </c>
      <c r="B217" s="2">
        <v>448</v>
      </c>
      <c r="C217" s="2">
        <v>148</v>
      </c>
      <c r="D217" s="1">
        <v>2</v>
      </c>
      <c r="E217" t="s">
        <v>8</v>
      </c>
      <c r="F217" t="s">
        <v>18</v>
      </c>
      <c r="G217" t="s">
        <v>10</v>
      </c>
    </row>
    <row r="218" spans="1:7" x14ac:dyDescent="0.25">
      <c r="A218" t="s">
        <v>209</v>
      </c>
      <c r="B218" s="2">
        <v>446</v>
      </c>
      <c r="C218" s="2">
        <v>53</v>
      </c>
      <c r="D218" s="1">
        <v>3</v>
      </c>
      <c r="E218" t="s">
        <v>8</v>
      </c>
      <c r="F218" t="s">
        <v>18</v>
      </c>
      <c r="G218" t="s">
        <v>10</v>
      </c>
    </row>
    <row r="219" spans="1:7" x14ac:dyDescent="0.25">
      <c r="A219" t="s">
        <v>210</v>
      </c>
      <c r="B219" s="2">
        <v>98</v>
      </c>
      <c r="C219" s="2">
        <v>-45</v>
      </c>
      <c r="D219" s="1">
        <v>2</v>
      </c>
      <c r="E219" t="s">
        <v>12</v>
      </c>
      <c r="F219" t="s">
        <v>13</v>
      </c>
      <c r="G219" t="s">
        <v>28</v>
      </c>
    </row>
    <row r="220" spans="1:7" x14ac:dyDescent="0.25">
      <c r="A220" t="s">
        <v>11</v>
      </c>
      <c r="B220" s="2">
        <v>443</v>
      </c>
      <c r="C220" s="2">
        <v>11</v>
      </c>
      <c r="D220" s="1">
        <v>1</v>
      </c>
      <c r="E220" t="s">
        <v>23</v>
      </c>
      <c r="F220" t="s">
        <v>26</v>
      </c>
      <c r="G220" t="s">
        <v>10</v>
      </c>
    </row>
    <row r="221" spans="1:7" x14ac:dyDescent="0.25">
      <c r="A221" t="s">
        <v>117</v>
      </c>
      <c r="B221" s="2">
        <v>427</v>
      </c>
      <c r="C221" s="2">
        <v>-50</v>
      </c>
      <c r="D221" s="1">
        <v>7</v>
      </c>
      <c r="E221" t="s">
        <v>8</v>
      </c>
      <c r="F221" t="s">
        <v>21</v>
      </c>
      <c r="G221" t="s">
        <v>10</v>
      </c>
    </row>
    <row r="222" spans="1:7" x14ac:dyDescent="0.25">
      <c r="A222" t="s">
        <v>155</v>
      </c>
      <c r="B222" s="2">
        <v>656</v>
      </c>
      <c r="C222" s="2">
        <v>-36</v>
      </c>
      <c r="D222" s="1">
        <v>2</v>
      </c>
      <c r="E222" t="s">
        <v>12</v>
      </c>
      <c r="F222" t="s">
        <v>16</v>
      </c>
      <c r="G222" t="s">
        <v>19</v>
      </c>
    </row>
    <row r="223" spans="1:7" x14ac:dyDescent="0.25">
      <c r="A223" t="s">
        <v>211</v>
      </c>
      <c r="B223" s="2">
        <v>424</v>
      </c>
      <c r="C223" s="2">
        <v>161</v>
      </c>
      <c r="D223" s="1">
        <v>2</v>
      </c>
      <c r="E223" t="s">
        <v>23</v>
      </c>
      <c r="F223" t="s">
        <v>26</v>
      </c>
      <c r="G223" t="s">
        <v>10</v>
      </c>
    </row>
    <row r="224" spans="1:7" x14ac:dyDescent="0.25">
      <c r="A224" t="s">
        <v>106</v>
      </c>
      <c r="B224" s="2">
        <v>27</v>
      </c>
      <c r="C224" s="2">
        <v>8</v>
      </c>
      <c r="D224" s="1">
        <v>2</v>
      </c>
      <c r="E224" t="s">
        <v>23</v>
      </c>
      <c r="F224" t="s">
        <v>81</v>
      </c>
      <c r="G224" t="s">
        <v>82</v>
      </c>
    </row>
    <row r="225" spans="1:7" x14ac:dyDescent="0.25">
      <c r="A225" t="s">
        <v>20</v>
      </c>
      <c r="B225" s="2">
        <v>424</v>
      </c>
      <c r="C225" s="2">
        <v>-272</v>
      </c>
      <c r="D225" s="1">
        <v>5</v>
      </c>
      <c r="E225" t="s">
        <v>8</v>
      </c>
      <c r="F225" t="s">
        <v>21</v>
      </c>
      <c r="G225" t="s">
        <v>10</v>
      </c>
    </row>
    <row r="226" spans="1:7" x14ac:dyDescent="0.25">
      <c r="A226" t="s">
        <v>212</v>
      </c>
      <c r="B226" s="2">
        <v>202</v>
      </c>
      <c r="C226" s="2">
        <v>4</v>
      </c>
      <c r="D226" s="1">
        <v>4</v>
      </c>
      <c r="E226" t="s">
        <v>23</v>
      </c>
      <c r="F226" t="s">
        <v>30</v>
      </c>
      <c r="G226" t="s">
        <v>10</v>
      </c>
    </row>
    <row r="227" spans="1:7" x14ac:dyDescent="0.25">
      <c r="A227" t="s">
        <v>186</v>
      </c>
      <c r="B227" s="2">
        <v>1275</v>
      </c>
      <c r="C227" s="2">
        <v>357</v>
      </c>
      <c r="D227" s="1">
        <v>2</v>
      </c>
      <c r="E227" t="s">
        <v>8</v>
      </c>
      <c r="F227" t="s">
        <v>21</v>
      </c>
      <c r="G227" t="s">
        <v>28</v>
      </c>
    </row>
    <row r="228" spans="1:7" x14ac:dyDescent="0.25">
      <c r="A228" t="s">
        <v>37</v>
      </c>
      <c r="B228" s="2">
        <v>418</v>
      </c>
      <c r="C228" s="2">
        <v>70</v>
      </c>
      <c r="D228" s="1">
        <v>7</v>
      </c>
      <c r="E228" t="s">
        <v>8</v>
      </c>
      <c r="F228" t="s">
        <v>21</v>
      </c>
      <c r="G228" t="s">
        <v>10</v>
      </c>
    </row>
    <row r="229" spans="1:7" x14ac:dyDescent="0.25">
      <c r="A229" t="s">
        <v>213</v>
      </c>
      <c r="B229" s="2">
        <v>417</v>
      </c>
      <c r="C229" s="2">
        <v>49</v>
      </c>
      <c r="D229" s="1">
        <v>3</v>
      </c>
      <c r="E229" t="s">
        <v>8</v>
      </c>
      <c r="F229" t="s">
        <v>9</v>
      </c>
      <c r="G229" t="s">
        <v>10</v>
      </c>
    </row>
    <row r="230" spans="1:7" x14ac:dyDescent="0.25">
      <c r="A230" t="s">
        <v>41</v>
      </c>
      <c r="B230" s="2">
        <v>199</v>
      </c>
      <c r="C230" s="2">
        <v>48</v>
      </c>
      <c r="D230" s="1">
        <v>4</v>
      </c>
      <c r="E230" t="s">
        <v>23</v>
      </c>
      <c r="F230" t="s">
        <v>57</v>
      </c>
      <c r="G230" t="s">
        <v>28</v>
      </c>
    </row>
    <row r="231" spans="1:7" x14ac:dyDescent="0.25">
      <c r="A231" t="s">
        <v>161</v>
      </c>
      <c r="B231" s="2">
        <v>385</v>
      </c>
      <c r="C231" s="2">
        <v>-77</v>
      </c>
      <c r="D231" s="1">
        <v>11</v>
      </c>
      <c r="E231" t="s">
        <v>12</v>
      </c>
      <c r="F231" t="s">
        <v>131</v>
      </c>
      <c r="G231" t="s">
        <v>28</v>
      </c>
    </row>
    <row r="232" spans="1:7" x14ac:dyDescent="0.25">
      <c r="A232" t="s">
        <v>164</v>
      </c>
      <c r="B232" s="2">
        <v>414</v>
      </c>
      <c r="C232" s="2">
        <v>199</v>
      </c>
      <c r="D232" s="1">
        <v>3</v>
      </c>
      <c r="E232" t="s">
        <v>8</v>
      </c>
      <c r="F232" t="s">
        <v>21</v>
      </c>
      <c r="G232" t="s">
        <v>10</v>
      </c>
    </row>
    <row r="233" spans="1:7" x14ac:dyDescent="0.25">
      <c r="A233" t="s">
        <v>33</v>
      </c>
      <c r="B233" s="2">
        <v>97</v>
      </c>
      <c r="C233" s="2">
        <v>-45</v>
      </c>
      <c r="D233" s="1">
        <v>4</v>
      </c>
      <c r="E233" t="s">
        <v>23</v>
      </c>
      <c r="F233" t="s">
        <v>26</v>
      </c>
      <c r="G233" t="s">
        <v>10</v>
      </c>
    </row>
    <row r="234" spans="1:7" x14ac:dyDescent="0.25">
      <c r="A234" t="s">
        <v>214</v>
      </c>
      <c r="B234" s="2">
        <v>648</v>
      </c>
      <c r="C234" s="2">
        <v>50</v>
      </c>
      <c r="D234" s="1">
        <v>6</v>
      </c>
      <c r="E234" t="s">
        <v>8</v>
      </c>
      <c r="F234" t="s">
        <v>9</v>
      </c>
      <c r="G234" t="s">
        <v>19</v>
      </c>
    </row>
    <row r="235" spans="1:7" x14ac:dyDescent="0.25">
      <c r="A235" t="s">
        <v>215</v>
      </c>
      <c r="B235" s="2">
        <v>27</v>
      </c>
      <c r="C235" s="2">
        <v>-25</v>
      </c>
      <c r="D235" s="1">
        <v>2</v>
      </c>
      <c r="E235" t="s">
        <v>23</v>
      </c>
      <c r="F235" t="s">
        <v>142</v>
      </c>
      <c r="G235" t="s">
        <v>82</v>
      </c>
    </row>
    <row r="236" spans="1:7" x14ac:dyDescent="0.25">
      <c r="A236" t="s">
        <v>216</v>
      </c>
      <c r="B236" s="2">
        <v>27</v>
      </c>
      <c r="C236" s="2">
        <v>12</v>
      </c>
      <c r="D236" s="1">
        <v>1</v>
      </c>
      <c r="E236" t="s">
        <v>23</v>
      </c>
      <c r="F236" t="s">
        <v>57</v>
      </c>
      <c r="G236" t="s">
        <v>82</v>
      </c>
    </row>
    <row r="237" spans="1:7" x14ac:dyDescent="0.25">
      <c r="A237" t="s">
        <v>217</v>
      </c>
      <c r="B237" s="2">
        <v>27</v>
      </c>
      <c r="C237" s="2">
        <v>1</v>
      </c>
      <c r="D237" s="1">
        <v>1</v>
      </c>
      <c r="E237" t="s">
        <v>23</v>
      </c>
      <c r="F237" t="s">
        <v>57</v>
      </c>
      <c r="G237" t="s">
        <v>28</v>
      </c>
    </row>
    <row r="238" spans="1:7" x14ac:dyDescent="0.25">
      <c r="A238" t="s">
        <v>64</v>
      </c>
      <c r="B238" s="2">
        <v>413</v>
      </c>
      <c r="C238" s="2">
        <v>-314</v>
      </c>
      <c r="D238" s="1">
        <v>9</v>
      </c>
      <c r="E238" t="s">
        <v>12</v>
      </c>
      <c r="F238" t="s">
        <v>13</v>
      </c>
      <c r="G238" t="s">
        <v>10</v>
      </c>
    </row>
    <row r="239" spans="1:7" x14ac:dyDescent="0.25">
      <c r="A239" t="s">
        <v>129</v>
      </c>
      <c r="B239" s="2">
        <v>53</v>
      </c>
      <c r="C239" s="2">
        <v>2</v>
      </c>
      <c r="D239" s="1">
        <v>4</v>
      </c>
      <c r="E239" t="s">
        <v>23</v>
      </c>
      <c r="F239" t="s">
        <v>30</v>
      </c>
      <c r="G239" t="s">
        <v>10</v>
      </c>
    </row>
    <row r="240" spans="1:7" x14ac:dyDescent="0.25">
      <c r="A240" t="s">
        <v>79</v>
      </c>
      <c r="B240" s="2">
        <v>29</v>
      </c>
      <c r="C240" s="2">
        <v>8</v>
      </c>
      <c r="D240" s="1">
        <v>5</v>
      </c>
      <c r="E240" t="s">
        <v>23</v>
      </c>
      <c r="F240" t="s">
        <v>30</v>
      </c>
      <c r="G240" t="s">
        <v>28</v>
      </c>
    </row>
    <row r="241" spans="1:7" x14ac:dyDescent="0.25">
      <c r="A241" t="s">
        <v>218</v>
      </c>
      <c r="B241" s="2">
        <v>30</v>
      </c>
      <c r="C241" s="2">
        <v>13</v>
      </c>
      <c r="D241" s="1">
        <v>1</v>
      </c>
      <c r="E241" t="s">
        <v>23</v>
      </c>
      <c r="F241" t="s">
        <v>81</v>
      </c>
      <c r="G241" t="s">
        <v>28</v>
      </c>
    </row>
    <row r="242" spans="1:7" x14ac:dyDescent="0.25">
      <c r="A242" t="s">
        <v>219</v>
      </c>
      <c r="B242" s="2">
        <v>412</v>
      </c>
      <c r="C242" s="2">
        <v>412</v>
      </c>
      <c r="D242" s="1">
        <v>6</v>
      </c>
      <c r="E242" t="s">
        <v>23</v>
      </c>
      <c r="F242" t="s">
        <v>26</v>
      </c>
      <c r="G242" t="s">
        <v>10</v>
      </c>
    </row>
    <row r="243" spans="1:7" x14ac:dyDescent="0.25">
      <c r="A243" t="s">
        <v>220</v>
      </c>
      <c r="B243" s="2">
        <v>646</v>
      </c>
      <c r="C243" s="2">
        <v>-23</v>
      </c>
      <c r="D243" s="1">
        <v>2</v>
      </c>
      <c r="E243" t="s">
        <v>8</v>
      </c>
      <c r="F243" t="s">
        <v>18</v>
      </c>
      <c r="G243" t="s">
        <v>19</v>
      </c>
    </row>
    <row r="244" spans="1:7" x14ac:dyDescent="0.25">
      <c r="A244" t="s">
        <v>123</v>
      </c>
      <c r="B244" s="2">
        <v>30</v>
      </c>
      <c r="C244" s="2">
        <v>-5</v>
      </c>
      <c r="D244" s="1">
        <v>5</v>
      </c>
      <c r="E244" t="s">
        <v>23</v>
      </c>
      <c r="F244" t="s">
        <v>57</v>
      </c>
      <c r="G244" t="s">
        <v>28</v>
      </c>
    </row>
    <row r="245" spans="1:7" x14ac:dyDescent="0.25">
      <c r="A245" t="s">
        <v>129</v>
      </c>
      <c r="B245" s="2">
        <v>618</v>
      </c>
      <c r="C245" s="2">
        <v>27</v>
      </c>
      <c r="D245" s="1">
        <v>4</v>
      </c>
      <c r="E245" t="s">
        <v>12</v>
      </c>
      <c r="F245" t="s">
        <v>16</v>
      </c>
      <c r="G245" t="s">
        <v>19</v>
      </c>
    </row>
    <row r="246" spans="1:7" x14ac:dyDescent="0.25">
      <c r="A246" t="s">
        <v>221</v>
      </c>
      <c r="B246" s="2">
        <v>143</v>
      </c>
      <c r="C246" s="2">
        <v>-124</v>
      </c>
      <c r="D246" s="1">
        <v>5</v>
      </c>
      <c r="E246" t="s">
        <v>23</v>
      </c>
      <c r="F246" t="s">
        <v>26</v>
      </c>
      <c r="G246" t="s">
        <v>28</v>
      </c>
    </row>
    <row r="247" spans="1:7" x14ac:dyDescent="0.25">
      <c r="A247" t="s">
        <v>64</v>
      </c>
      <c r="B247" s="2">
        <v>31</v>
      </c>
      <c r="C247" s="2">
        <v>1</v>
      </c>
      <c r="D247" s="1">
        <v>2</v>
      </c>
      <c r="E247" t="s">
        <v>23</v>
      </c>
      <c r="F247" t="s">
        <v>30</v>
      </c>
      <c r="G247" t="s">
        <v>28</v>
      </c>
    </row>
    <row r="248" spans="1:7" x14ac:dyDescent="0.25">
      <c r="A248" t="s">
        <v>128</v>
      </c>
      <c r="B248" s="2">
        <v>409</v>
      </c>
      <c r="C248" s="2">
        <v>86</v>
      </c>
      <c r="D248" s="1">
        <v>3</v>
      </c>
      <c r="E248" t="s">
        <v>23</v>
      </c>
      <c r="F248" t="s">
        <v>26</v>
      </c>
      <c r="G248" t="s">
        <v>10</v>
      </c>
    </row>
    <row r="249" spans="1:7" x14ac:dyDescent="0.25">
      <c r="A249" t="s">
        <v>123</v>
      </c>
      <c r="B249" s="2">
        <v>406</v>
      </c>
      <c r="C249" s="2">
        <v>126</v>
      </c>
      <c r="D249" s="1">
        <v>2</v>
      </c>
      <c r="E249" t="s">
        <v>23</v>
      </c>
      <c r="F249" t="s">
        <v>26</v>
      </c>
      <c r="G249" t="s">
        <v>10</v>
      </c>
    </row>
    <row r="250" spans="1:7" x14ac:dyDescent="0.25">
      <c r="A250" t="s">
        <v>222</v>
      </c>
      <c r="B250" s="2">
        <v>565</v>
      </c>
      <c r="C250" s="2">
        <v>66</v>
      </c>
      <c r="D250" s="1">
        <v>7</v>
      </c>
      <c r="E250" t="s">
        <v>23</v>
      </c>
      <c r="F250" t="s">
        <v>26</v>
      </c>
      <c r="G250" t="s">
        <v>19</v>
      </c>
    </row>
    <row r="251" spans="1:7" x14ac:dyDescent="0.25">
      <c r="A251" t="s">
        <v>167</v>
      </c>
      <c r="B251" s="2">
        <v>85</v>
      </c>
      <c r="C251" s="2">
        <v>2</v>
      </c>
      <c r="D251" s="1">
        <v>6</v>
      </c>
      <c r="E251" t="s">
        <v>23</v>
      </c>
      <c r="F251" t="s">
        <v>57</v>
      </c>
      <c r="G251" t="s">
        <v>10</v>
      </c>
    </row>
    <row r="252" spans="1:7" x14ac:dyDescent="0.25">
      <c r="A252" t="s">
        <v>223</v>
      </c>
      <c r="B252" s="2">
        <v>561</v>
      </c>
      <c r="C252" s="2">
        <v>118</v>
      </c>
      <c r="D252" s="1">
        <v>5</v>
      </c>
      <c r="E252" t="s">
        <v>12</v>
      </c>
      <c r="F252" t="s">
        <v>16</v>
      </c>
      <c r="G252" t="s">
        <v>19</v>
      </c>
    </row>
    <row r="253" spans="1:7" x14ac:dyDescent="0.25">
      <c r="A253" t="s">
        <v>224</v>
      </c>
      <c r="B253" s="2">
        <v>503</v>
      </c>
      <c r="C253" s="2">
        <v>-56</v>
      </c>
      <c r="D253" s="1">
        <v>2</v>
      </c>
      <c r="E253" t="s">
        <v>23</v>
      </c>
      <c r="F253" t="s">
        <v>24</v>
      </c>
      <c r="G253" t="s">
        <v>10</v>
      </c>
    </row>
    <row r="254" spans="1:7" x14ac:dyDescent="0.25">
      <c r="A254" t="s">
        <v>188</v>
      </c>
      <c r="B254" s="2">
        <v>31</v>
      </c>
      <c r="C254" s="2">
        <v>14</v>
      </c>
      <c r="D254" s="1">
        <v>3</v>
      </c>
      <c r="E254" t="s">
        <v>23</v>
      </c>
      <c r="F254" t="s">
        <v>57</v>
      </c>
      <c r="G254" t="s">
        <v>28</v>
      </c>
    </row>
    <row r="255" spans="1:7" x14ac:dyDescent="0.25">
      <c r="A255" t="s">
        <v>225</v>
      </c>
      <c r="B255" s="2">
        <v>398</v>
      </c>
      <c r="C255" s="2">
        <v>111</v>
      </c>
      <c r="D255" s="1">
        <v>8</v>
      </c>
      <c r="E255" t="s">
        <v>23</v>
      </c>
      <c r="F255" t="s">
        <v>30</v>
      </c>
      <c r="G255" t="s">
        <v>10</v>
      </c>
    </row>
    <row r="256" spans="1:7" x14ac:dyDescent="0.25">
      <c r="A256" t="s">
        <v>226</v>
      </c>
      <c r="B256" s="2">
        <v>388</v>
      </c>
      <c r="C256" s="2">
        <v>93</v>
      </c>
      <c r="D256" s="1">
        <v>2</v>
      </c>
      <c r="E256" t="s">
        <v>12</v>
      </c>
      <c r="F256" t="s">
        <v>16</v>
      </c>
      <c r="G256" t="s">
        <v>10</v>
      </c>
    </row>
    <row r="257" spans="1:7" x14ac:dyDescent="0.25">
      <c r="A257" t="s">
        <v>60</v>
      </c>
      <c r="B257" s="2">
        <v>498</v>
      </c>
      <c r="C257" s="2">
        <v>-116</v>
      </c>
      <c r="D257" s="1">
        <v>4</v>
      </c>
      <c r="E257" t="s">
        <v>23</v>
      </c>
      <c r="F257" t="s">
        <v>26</v>
      </c>
      <c r="G257" t="s">
        <v>28</v>
      </c>
    </row>
    <row r="258" spans="1:7" x14ac:dyDescent="0.25">
      <c r="A258" t="s">
        <v>227</v>
      </c>
      <c r="B258" s="2">
        <v>561</v>
      </c>
      <c r="C258" s="2">
        <v>212</v>
      </c>
      <c r="D258" s="1">
        <v>3</v>
      </c>
      <c r="E258" t="s">
        <v>23</v>
      </c>
      <c r="F258" t="s">
        <v>26</v>
      </c>
      <c r="G258" t="s">
        <v>19</v>
      </c>
    </row>
    <row r="259" spans="1:7" x14ac:dyDescent="0.25">
      <c r="A259" t="s">
        <v>228</v>
      </c>
      <c r="B259" s="2">
        <v>61</v>
      </c>
      <c r="C259" s="2">
        <v>3</v>
      </c>
      <c r="D259" s="1">
        <v>4</v>
      </c>
      <c r="E259" t="s">
        <v>23</v>
      </c>
      <c r="F259" t="s">
        <v>30</v>
      </c>
      <c r="G259" t="s">
        <v>10</v>
      </c>
    </row>
    <row r="260" spans="1:7" x14ac:dyDescent="0.25">
      <c r="A260" t="s">
        <v>229</v>
      </c>
      <c r="B260" s="2">
        <v>34</v>
      </c>
      <c r="C260" s="2">
        <v>-22</v>
      </c>
      <c r="D260" s="1">
        <v>4</v>
      </c>
      <c r="E260" t="s">
        <v>23</v>
      </c>
      <c r="F260" t="s">
        <v>81</v>
      </c>
      <c r="G260" t="s">
        <v>10</v>
      </c>
    </row>
    <row r="261" spans="1:7" x14ac:dyDescent="0.25">
      <c r="A261" t="s">
        <v>230</v>
      </c>
      <c r="B261" s="2">
        <v>32</v>
      </c>
      <c r="C261" s="2">
        <v>6</v>
      </c>
      <c r="D261" s="1">
        <v>3</v>
      </c>
      <c r="E261" t="s">
        <v>23</v>
      </c>
      <c r="F261" t="s">
        <v>142</v>
      </c>
      <c r="G261" t="s">
        <v>28</v>
      </c>
    </row>
    <row r="262" spans="1:7" x14ac:dyDescent="0.25">
      <c r="A262" t="s">
        <v>39</v>
      </c>
      <c r="B262" s="2">
        <v>623</v>
      </c>
      <c r="C262" s="2">
        <v>-192</v>
      </c>
      <c r="D262" s="1">
        <v>3</v>
      </c>
      <c r="E262" t="s">
        <v>12</v>
      </c>
      <c r="F262" t="s">
        <v>45</v>
      </c>
      <c r="G262" t="s">
        <v>28</v>
      </c>
    </row>
    <row r="263" spans="1:7" x14ac:dyDescent="0.25">
      <c r="A263" t="s">
        <v>231</v>
      </c>
      <c r="B263" s="2">
        <v>520</v>
      </c>
      <c r="C263" s="2">
        <v>151</v>
      </c>
      <c r="D263" s="1">
        <v>3</v>
      </c>
      <c r="E263" t="s">
        <v>8</v>
      </c>
      <c r="F263" t="s">
        <v>21</v>
      </c>
      <c r="G263" t="s">
        <v>19</v>
      </c>
    </row>
    <row r="264" spans="1:7" x14ac:dyDescent="0.25">
      <c r="A264" t="s">
        <v>112</v>
      </c>
      <c r="B264" s="2">
        <v>32</v>
      </c>
      <c r="C264" s="2">
        <v>-16</v>
      </c>
      <c r="D264" s="1">
        <v>6</v>
      </c>
      <c r="E264" t="s">
        <v>23</v>
      </c>
      <c r="F264" t="s">
        <v>26</v>
      </c>
      <c r="G264" t="s">
        <v>28</v>
      </c>
    </row>
    <row r="265" spans="1:7" x14ac:dyDescent="0.25">
      <c r="A265" t="s">
        <v>33</v>
      </c>
      <c r="B265" s="2">
        <v>32</v>
      </c>
      <c r="C265" s="2">
        <v>-5</v>
      </c>
      <c r="D265" s="1">
        <v>5</v>
      </c>
      <c r="E265" t="s">
        <v>23</v>
      </c>
      <c r="F265" t="s">
        <v>30</v>
      </c>
      <c r="G265" t="s">
        <v>28</v>
      </c>
    </row>
    <row r="266" spans="1:7" x14ac:dyDescent="0.25">
      <c r="A266" t="s">
        <v>232</v>
      </c>
      <c r="B266" s="2">
        <v>510</v>
      </c>
      <c r="C266" s="2">
        <v>234</v>
      </c>
      <c r="D266" s="1">
        <v>6</v>
      </c>
      <c r="E266" t="s">
        <v>8</v>
      </c>
      <c r="F266" t="s">
        <v>9</v>
      </c>
      <c r="G266" t="s">
        <v>14</v>
      </c>
    </row>
    <row r="267" spans="1:7" x14ac:dyDescent="0.25">
      <c r="A267" t="s">
        <v>233</v>
      </c>
      <c r="B267" s="2">
        <v>382</v>
      </c>
      <c r="C267" s="2">
        <v>68</v>
      </c>
      <c r="D267" s="1">
        <v>3</v>
      </c>
      <c r="E267" t="s">
        <v>23</v>
      </c>
      <c r="F267" t="s">
        <v>26</v>
      </c>
      <c r="G267" t="s">
        <v>10</v>
      </c>
    </row>
    <row r="268" spans="1:7" x14ac:dyDescent="0.25">
      <c r="A268" t="s">
        <v>115</v>
      </c>
      <c r="B268" s="2">
        <v>33</v>
      </c>
      <c r="C268" s="2">
        <v>13</v>
      </c>
      <c r="D268" s="1">
        <v>3</v>
      </c>
      <c r="E268" t="s">
        <v>23</v>
      </c>
      <c r="F268" t="s">
        <v>63</v>
      </c>
      <c r="G268" t="s">
        <v>28</v>
      </c>
    </row>
    <row r="269" spans="1:7" x14ac:dyDescent="0.25">
      <c r="A269" t="s">
        <v>53</v>
      </c>
      <c r="B269" s="2">
        <v>381</v>
      </c>
      <c r="C269" s="2">
        <v>-13</v>
      </c>
      <c r="D269" s="1">
        <v>2</v>
      </c>
      <c r="E269" t="s">
        <v>23</v>
      </c>
      <c r="F269" t="s">
        <v>26</v>
      </c>
      <c r="G269" t="s">
        <v>10</v>
      </c>
    </row>
    <row r="270" spans="1:7" x14ac:dyDescent="0.25">
      <c r="A270" t="s">
        <v>88</v>
      </c>
      <c r="B270" s="2">
        <v>490</v>
      </c>
      <c r="C270" s="2">
        <v>88</v>
      </c>
      <c r="D270" s="1">
        <v>2</v>
      </c>
      <c r="E270" t="s">
        <v>8</v>
      </c>
      <c r="F270" t="s">
        <v>73</v>
      </c>
      <c r="G270" t="s">
        <v>14</v>
      </c>
    </row>
    <row r="271" spans="1:7" x14ac:dyDescent="0.25">
      <c r="A271" t="s">
        <v>234</v>
      </c>
      <c r="B271" s="2">
        <v>381</v>
      </c>
      <c r="C271" s="2">
        <v>144</v>
      </c>
      <c r="D271" s="1">
        <v>2</v>
      </c>
      <c r="E271" t="s">
        <v>23</v>
      </c>
      <c r="F271" t="s">
        <v>26</v>
      </c>
      <c r="G271" t="s">
        <v>10</v>
      </c>
    </row>
    <row r="272" spans="1:7" x14ac:dyDescent="0.25">
      <c r="A272" t="s">
        <v>230</v>
      </c>
      <c r="B272" s="2">
        <v>487</v>
      </c>
      <c r="C272" s="2">
        <v>143</v>
      </c>
      <c r="D272" s="1">
        <v>4</v>
      </c>
      <c r="E272" t="s">
        <v>8</v>
      </c>
      <c r="F272" t="s">
        <v>21</v>
      </c>
      <c r="G272" t="s">
        <v>14</v>
      </c>
    </row>
    <row r="273" spans="1:7" x14ac:dyDescent="0.25">
      <c r="A273" t="s">
        <v>209</v>
      </c>
      <c r="B273" s="2">
        <v>366</v>
      </c>
      <c r="C273" s="2">
        <v>84</v>
      </c>
      <c r="D273" s="1">
        <v>3</v>
      </c>
      <c r="E273" t="s">
        <v>12</v>
      </c>
      <c r="F273" t="s">
        <v>16</v>
      </c>
      <c r="G273" t="s">
        <v>10</v>
      </c>
    </row>
    <row r="274" spans="1:7" x14ac:dyDescent="0.25">
      <c r="A274" t="s">
        <v>210</v>
      </c>
      <c r="B274" s="2">
        <v>33</v>
      </c>
      <c r="C274" s="2">
        <v>-29</v>
      </c>
      <c r="D274" s="1">
        <v>3</v>
      </c>
      <c r="E274" t="s">
        <v>23</v>
      </c>
      <c r="F274" t="s">
        <v>142</v>
      </c>
      <c r="G274" t="s">
        <v>28</v>
      </c>
    </row>
    <row r="275" spans="1:7" x14ac:dyDescent="0.25">
      <c r="A275" t="s">
        <v>136</v>
      </c>
      <c r="B275" s="2">
        <v>365</v>
      </c>
      <c r="C275" s="2">
        <v>107</v>
      </c>
      <c r="D275" s="1">
        <v>3</v>
      </c>
      <c r="E275" t="s">
        <v>8</v>
      </c>
      <c r="F275" t="s">
        <v>21</v>
      </c>
      <c r="G275" t="s">
        <v>10</v>
      </c>
    </row>
    <row r="276" spans="1:7" x14ac:dyDescent="0.25">
      <c r="A276" t="s">
        <v>219</v>
      </c>
      <c r="B276" s="2">
        <v>207</v>
      </c>
      <c r="C276" s="2">
        <v>-100</v>
      </c>
      <c r="D276" s="1">
        <v>2</v>
      </c>
      <c r="E276" t="s">
        <v>23</v>
      </c>
      <c r="F276" t="s">
        <v>26</v>
      </c>
      <c r="G276" t="s">
        <v>28</v>
      </c>
    </row>
    <row r="277" spans="1:7" x14ac:dyDescent="0.25">
      <c r="A277" t="s">
        <v>200</v>
      </c>
      <c r="B277" s="2">
        <v>359</v>
      </c>
      <c r="C277" s="2">
        <v>-338</v>
      </c>
      <c r="D277" s="1">
        <v>5</v>
      </c>
      <c r="E277" t="s">
        <v>12</v>
      </c>
      <c r="F277" t="s">
        <v>16</v>
      </c>
      <c r="G277" t="s">
        <v>10</v>
      </c>
    </row>
    <row r="278" spans="1:7" x14ac:dyDescent="0.25">
      <c r="A278" t="s">
        <v>135</v>
      </c>
      <c r="B278" s="2">
        <v>351</v>
      </c>
      <c r="C278" s="2">
        <v>-47</v>
      </c>
      <c r="D278" s="1">
        <v>8</v>
      </c>
      <c r="E278" t="s">
        <v>8</v>
      </c>
      <c r="F278" t="s">
        <v>21</v>
      </c>
      <c r="G278" t="s">
        <v>10</v>
      </c>
    </row>
    <row r="279" spans="1:7" x14ac:dyDescent="0.25">
      <c r="A279" t="s">
        <v>111</v>
      </c>
      <c r="B279" s="2">
        <v>485</v>
      </c>
      <c r="C279" s="2">
        <v>199</v>
      </c>
      <c r="D279" s="1">
        <v>4</v>
      </c>
      <c r="E279" t="s">
        <v>23</v>
      </c>
      <c r="F279" t="s">
        <v>26</v>
      </c>
      <c r="G279" t="s">
        <v>14</v>
      </c>
    </row>
    <row r="280" spans="1:7" x14ac:dyDescent="0.25">
      <c r="A280" t="s">
        <v>29</v>
      </c>
      <c r="B280" s="2">
        <v>37</v>
      </c>
      <c r="C280" s="2">
        <v>-23</v>
      </c>
      <c r="D280" s="1">
        <v>4</v>
      </c>
      <c r="E280" t="s">
        <v>23</v>
      </c>
      <c r="F280" t="s">
        <v>142</v>
      </c>
      <c r="G280" t="s">
        <v>28</v>
      </c>
    </row>
    <row r="281" spans="1:7" x14ac:dyDescent="0.25">
      <c r="A281" t="s">
        <v>116</v>
      </c>
      <c r="B281" s="2">
        <v>34</v>
      </c>
      <c r="C281" s="2">
        <v>10</v>
      </c>
      <c r="D281" s="1">
        <v>2</v>
      </c>
      <c r="E281" t="s">
        <v>23</v>
      </c>
      <c r="F281" t="s">
        <v>81</v>
      </c>
      <c r="G281" t="s">
        <v>82</v>
      </c>
    </row>
    <row r="282" spans="1:7" x14ac:dyDescent="0.25">
      <c r="A282" t="s">
        <v>235</v>
      </c>
      <c r="B282" s="2">
        <v>346</v>
      </c>
      <c r="C282" s="2">
        <v>108</v>
      </c>
      <c r="D282" s="1">
        <v>3</v>
      </c>
      <c r="E282" t="s">
        <v>12</v>
      </c>
      <c r="F282" t="s">
        <v>13</v>
      </c>
      <c r="G282" t="s">
        <v>10</v>
      </c>
    </row>
    <row r="283" spans="1:7" x14ac:dyDescent="0.25">
      <c r="A283" t="s">
        <v>158</v>
      </c>
      <c r="B283" s="2">
        <v>342</v>
      </c>
      <c r="C283" s="2">
        <v>-103</v>
      </c>
      <c r="D283" s="1">
        <v>4</v>
      </c>
      <c r="E283" t="s">
        <v>8</v>
      </c>
      <c r="F283" t="s">
        <v>9</v>
      </c>
      <c r="G283" t="s">
        <v>10</v>
      </c>
    </row>
    <row r="284" spans="1:7" x14ac:dyDescent="0.25">
      <c r="A284" t="s">
        <v>236</v>
      </c>
      <c r="B284" s="2">
        <v>35</v>
      </c>
      <c r="C284" s="2">
        <v>-8</v>
      </c>
      <c r="D284" s="1">
        <v>2</v>
      </c>
      <c r="E284" t="s">
        <v>12</v>
      </c>
      <c r="F284" t="s">
        <v>131</v>
      </c>
      <c r="G284" t="s">
        <v>82</v>
      </c>
    </row>
    <row r="285" spans="1:7" x14ac:dyDescent="0.25">
      <c r="A285" t="s">
        <v>237</v>
      </c>
      <c r="B285" s="2">
        <v>121</v>
      </c>
      <c r="C285" s="2">
        <v>41</v>
      </c>
      <c r="D285" s="1">
        <v>4</v>
      </c>
      <c r="E285" t="s">
        <v>23</v>
      </c>
      <c r="F285" t="s">
        <v>57</v>
      </c>
      <c r="G285" t="s">
        <v>28</v>
      </c>
    </row>
    <row r="286" spans="1:7" x14ac:dyDescent="0.25">
      <c r="A286" t="s">
        <v>134</v>
      </c>
      <c r="B286" s="2">
        <v>336</v>
      </c>
      <c r="C286" s="2">
        <v>57</v>
      </c>
      <c r="D286" s="1">
        <v>2</v>
      </c>
      <c r="E286" t="s">
        <v>8</v>
      </c>
      <c r="F286" t="s">
        <v>21</v>
      </c>
      <c r="G286" t="s">
        <v>10</v>
      </c>
    </row>
    <row r="287" spans="1:7" x14ac:dyDescent="0.25">
      <c r="A287" t="s">
        <v>31</v>
      </c>
      <c r="B287" s="2">
        <v>336</v>
      </c>
      <c r="C287" s="2">
        <v>71</v>
      </c>
      <c r="D287" s="1">
        <v>3</v>
      </c>
      <c r="E287" t="s">
        <v>12</v>
      </c>
      <c r="F287" t="s">
        <v>16</v>
      </c>
      <c r="G287" t="s">
        <v>10</v>
      </c>
    </row>
    <row r="288" spans="1:7" x14ac:dyDescent="0.25">
      <c r="A288" t="s">
        <v>238</v>
      </c>
      <c r="B288" s="2">
        <v>27</v>
      </c>
      <c r="C288" s="2">
        <v>4</v>
      </c>
      <c r="D288" s="1">
        <v>1</v>
      </c>
      <c r="E288" t="s">
        <v>23</v>
      </c>
      <c r="F288" t="s">
        <v>30</v>
      </c>
      <c r="G288" t="s">
        <v>10</v>
      </c>
    </row>
    <row r="289" spans="1:7" x14ac:dyDescent="0.25">
      <c r="A289" t="s">
        <v>173</v>
      </c>
      <c r="B289" s="2">
        <v>333</v>
      </c>
      <c r="C289" s="2">
        <v>50</v>
      </c>
      <c r="D289" s="1">
        <v>2</v>
      </c>
      <c r="E289" t="s">
        <v>8</v>
      </c>
      <c r="F289" t="s">
        <v>21</v>
      </c>
      <c r="G289" t="s">
        <v>10</v>
      </c>
    </row>
    <row r="290" spans="1:7" x14ac:dyDescent="0.25">
      <c r="A290" t="s">
        <v>22</v>
      </c>
      <c r="B290" s="2">
        <v>36</v>
      </c>
      <c r="C290" s="2">
        <v>7</v>
      </c>
      <c r="D290" s="1">
        <v>3</v>
      </c>
      <c r="E290" t="s">
        <v>23</v>
      </c>
      <c r="F290" t="s">
        <v>63</v>
      </c>
      <c r="G290" t="s">
        <v>82</v>
      </c>
    </row>
    <row r="291" spans="1:7" x14ac:dyDescent="0.25">
      <c r="A291" t="s">
        <v>239</v>
      </c>
      <c r="B291" s="2">
        <v>333</v>
      </c>
      <c r="C291" s="2">
        <v>-15</v>
      </c>
      <c r="D291" s="1">
        <v>3</v>
      </c>
      <c r="E291" t="s">
        <v>8</v>
      </c>
      <c r="F291" t="s">
        <v>21</v>
      </c>
      <c r="G291" t="s">
        <v>10</v>
      </c>
    </row>
    <row r="292" spans="1:7" x14ac:dyDescent="0.25">
      <c r="A292" t="s">
        <v>240</v>
      </c>
      <c r="B292" s="2">
        <v>327</v>
      </c>
      <c r="C292" s="2">
        <v>114</v>
      </c>
      <c r="D292" s="1">
        <v>4</v>
      </c>
      <c r="E292" t="s">
        <v>23</v>
      </c>
      <c r="F292" t="s">
        <v>24</v>
      </c>
      <c r="G292" t="s">
        <v>10</v>
      </c>
    </row>
    <row r="293" spans="1:7" x14ac:dyDescent="0.25">
      <c r="A293" t="s">
        <v>241</v>
      </c>
      <c r="B293" s="2">
        <v>18</v>
      </c>
      <c r="C293" s="2">
        <v>6</v>
      </c>
      <c r="D293" s="1">
        <v>3</v>
      </c>
      <c r="E293" t="s">
        <v>23</v>
      </c>
      <c r="F293" t="s">
        <v>30</v>
      </c>
      <c r="G293" t="s">
        <v>28</v>
      </c>
    </row>
    <row r="294" spans="1:7" x14ac:dyDescent="0.25">
      <c r="A294" t="s">
        <v>230</v>
      </c>
      <c r="B294" s="2">
        <v>325</v>
      </c>
      <c r="C294" s="2">
        <v>32</v>
      </c>
      <c r="D294" s="1">
        <v>7</v>
      </c>
      <c r="E294" t="s">
        <v>23</v>
      </c>
      <c r="F294" t="s">
        <v>81</v>
      </c>
      <c r="G294" t="s">
        <v>10</v>
      </c>
    </row>
    <row r="295" spans="1:7" x14ac:dyDescent="0.25">
      <c r="A295" t="s">
        <v>242</v>
      </c>
      <c r="B295" s="2">
        <v>482</v>
      </c>
      <c r="C295" s="2">
        <v>-6</v>
      </c>
      <c r="D295" s="1">
        <v>7</v>
      </c>
      <c r="E295" t="s">
        <v>8</v>
      </c>
      <c r="F295" t="s">
        <v>9</v>
      </c>
      <c r="G295" t="s">
        <v>14</v>
      </c>
    </row>
    <row r="296" spans="1:7" x14ac:dyDescent="0.25">
      <c r="A296" t="s">
        <v>36</v>
      </c>
      <c r="B296" s="2">
        <v>465</v>
      </c>
      <c r="C296" s="2">
        <v>-33</v>
      </c>
      <c r="D296" s="1">
        <v>4</v>
      </c>
      <c r="E296" t="s">
        <v>8</v>
      </c>
      <c r="F296" t="s">
        <v>21</v>
      </c>
      <c r="G296" t="s">
        <v>14</v>
      </c>
    </row>
    <row r="297" spans="1:7" x14ac:dyDescent="0.25">
      <c r="A297" t="s">
        <v>144</v>
      </c>
      <c r="B297" s="2">
        <v>40</v>
      </c>
      <c r="C297" s="2">
        <v>-12</v>
      </c>
      <c r="D297" s="1">
        <v>3</v>
      </c>
      <c r="E297" t="s">
        <v>23</v>
      </c>
      <c r="F297" t="s">
        <v>142</v>
      </c>
      <c r="G297" t="s">
        <v>10</v>
      </c>
    </row>
    <row r="298" spans="1:7" x14ac:dyDescent="0.25">
      <c r="A298" t="s">
        <v>149</v>
      </c>
      <c r="B298" s="2">
        <v>107</v>
      </c>
      <c r="C298" s="2">
        <v>36</v>
      </c>
      <c r="D298" s="1">
        <v>6</v>
      </c>
      <c r="E298" t="s">
        <v>23</v>
      </c>
      <c r="F298" t="s">
        <v>57</v>
      </c>
      <c r="G298" t="s">
        <v>10</v>
      </c>
    </row>
    <row r="299" spans="1:7" x14ac:dyDescent="0.25">
      <c r="A299" t="s">
        <v>38</v>
      </c>
      <c r="B299" s="2">
        <v>312</v>
      </c>
      <c r="C299" s="2">
        <v>-312</v>
      </c>
      <c r="D299" s="1">
        <v>7</v>
      </c>
      <c r="E299" t="s">
        <v>12</v>
      </c>
      <c r="F299" t="s">
        <v>13</v>
      </c>
      <c r="G299" t="s">
        <v>10</v>
      </c>
    </row>
    <row r="300" spans="1:7" x14ac:dyDescent="0.25">
      <c r="A300" t="s">
        <v>243</v>
      </c>
      <c r="B300" s="2">
        <v>451</v>
      </c>
      <c r="C300" s="2">
        <v>25</v>
      </c>
      <c r="D300" s="1">
        <v>3</v>
      </c>
      <c r="E300" t="s">
        <v>8</v>
      </c>
      <c r="F300" t="s">
        <v>21</v>
      </c>
      <c r="G300" t="s">
        <v>14</v>
      </c>
    </row>
    <row r="301" spans="1:7" x14ac:dyDescent="0.25">
      <c r="A301" t="s">
        <v>177</v>
      </c>
      <c r="B301" s="2">
        <v>312</v>
      </c>
      <c r="C301" s="2">
        <v>62</v>
      </c>
      <c r="D301" s="1">
        <v>1</v>
      </c>
      <c r="E301" t="s">
        <v>8</v>
      </c>
      <c r="F301" t="s">
        <v>9</v>
      </c>
      <c r="G301" t="s">
        <v>10</v>
      </c>
    </row>
    <row r="302" spans="1:7" x14ac:dyDescent="0.25">
      <c r="A302" t="s">
        <v>244</v>
      </c>
      <c r="B302" s="2">
        <v>311</v>
      </c>
      <c r="C302" s="2">
        <v>72</v>
      </c>
      <c r="D302" s="1">
        <v>2</v>
      </c>
      <c r="E302" t="s">
        <v>12</v>
      </c>
      <c r="F302" t="s">
        <v>16</v>
      </c>
      <c r="G302" t="s">
        <v>10</v>
      </c>
    </row>
    <row r="303" spans="1:7" x14ac:dyDescent="0.25">
      <c r="A303" t="s">
        <v>245</v>
      </c>
      <c r="B303" s="2">
        <v>11</v>
      </c>
      <c r="C303" s="2">
        <v>5</v>
      </c>
      <c r="D303" s="1">
        <v>2</v>
      </c>
      <c r="E303" t="s">
        <v>23</v>
      </c>
      <c r="F303" t="s">
        <v>30</v>
      </c>
      <c r="G303" t="s">
        <v>28</v>
      </c>
    </row>
    <row r="304" spans="1:7" x14ac:dyDescent="0.25">
      <c r="A304" t="s">
        <v>221</v>
      </c>
      <c r="B304" s="2">
        <v>37</v>
      </c>
      <c r="C304" s="2">
        <v>-5</v>
      </c>
      <c r="D304" s="1">
        <v>3</v>
      </c>
      <c r="E304" t="s">
        <v>23</v>
      </c>
      <c r="F304" t="s">
        <v>81</v>
      </c>
      <c r="G304" t="s">
        <v>82</v>
      </c>
    </row>
    <row r="305" spans="1:7" x14ac:dyDescent="0.25">
      <c r="A305" t="s">
        <v>246</v>
      </c>
      <c r="B305" s="2">
        <v>444</v>
      </c>
      <c r="C305" s="2">
        <v>-200</v>
      </c>
      <c r="D305" s="1">
        <v>4</v>
      </c>
      <c r="E305" t="s">
        <v>8</v>
      </c>
      <c r="F305" t="s">
        <v>21</v>
      </c>
      <c r="G305" t="s">
        <v>14</v>
      </c>
    </row>
    <row r="306" spans="1:7" x14ac:dyDescent="0.25">
      <c r="A306" t="s">
        <v>247</v>
      </c>
      <c r="B306" s="2">
        <v>434</v>
      </c>
      <c r="C306" s="2">
        <v>26</v>
      </c>
      <c r="D306" s="1">
        <v>11</v>
      </c>
      <c r="E306" t="s">
        <v>23</v>
      </c>
      <c r="F306" t="s">
        <v>142</v>
      </c>
      <c r="G306" t="s">
        <v>19</v>
      </c>
    </row>
    <row r="307" spans="1:7" x14ac:dyDescent="0.25">
      <c r="A307" t="s">
        <v>248</v>
      </c>
      <c r="B307" s="2">
        <v>299</v>
      </c>
      <c r="C307" s="2">
        <v>0</v>
      </c>
      <c r="D307" s="1">
        <v>6</v>
      </c>
      <c r="E307" t="s">
        <v>23</v>
      </c>
      <c r="F307" t="s">
        <v>57</v>
      </c>
      <c r="G307" t="s">
        <v>10</v>
      </c>
    </row>
    <row r="308" spans="1:7" x14ac:dyDescent="0.25">
      <c r="A308" t="s">
        <v>134</v>
      </c>
      <c r="B308" s="2">
        <v>37</v>
      </c>
      <c r="C308" s="2">
        <v>17</v>
      </c>
      <c r="D308" s="1">
        <v>3</v>
      </c>
      <c r="E308" t="s">
        <v>23</v>
      </c>
      <c r="F308" t="s">
        <v>30</v>
      </c>
      <c r="G308" t="s">
        <v>82</v>
      </c>
    </row>
    <row r="309" spans="1:7" x14ac:dyDescent="0.25">
      <c r="A309" t="s">
        <v>249</v>
      </c>
      <c r="B309" s="2">
        <v>299</v>
      </c>
      <c r="C309" s="2">
        <v>113</v>
      </c>
      <c r="D309" s="1">
        <v>2</v>
      </c>
      <c r="E309" t="s">
        <v>12</v>
      </c>
      <c r="F309" t="s">
        <v>16</v>
      </c>
      <c r="G309" t="s">
        <v>10</v>
      </c>
    </row>
    <row r="310" spans="1:7" x14ac:dyDescent="0.25">
      <c r="A310" t="s">
        <v>250</v>
      </c>
      <c r="B310" s="2">
        <v>298</v>
      </c>
      <c r="C310" s="2">
        <v>74</v>
      </c>
      <c r="D310" s="1">
        <v>2</v>
      </c>
      <c r="E310" t="s">
        <v>12</v>
      </c>
      <c r="F310" t="s">
        <v>16</v>
      </c>
      <c r="G310" t="s">
        <v>10</v>
      </c>
    </row>
    <row r="311" spans="1:7" x14ac:dyDescent="0.25">
      <c r="A311" t="s">
        <v>251</v>
      </c>
      <c r="B311" s="2">
        <v>94</v>
      </c>
      <c r="C311" s="2">
        <v>7</v>
      </c>
      <c r="D311" s="1">
        <v>7</v>
      </c>
      <c r="E311" t="s">
        <v>23</v>
      </c>
      <c r="F311" t="s">
        <v>63</v>
      </c>
      <c r="G311" t="s">
        <v>28</v>
      </c>
    </row>
    <row r="312" spans="1:7" x14ac:dyDescent="0.25">
      <c r="A312" t="s">
        <v>252</v>
      </c>
      <c r="B312" s="2">
        <v>296</v>
      </c>
      <c r="C312" s="2">
        <v>225</v>
      </c>
      <c r="D312" s="1">
        <v>11</v>
      </c>
      <c r="E312" t="s">
        <v>23</v>
      </c>
      <c r="F312" t="s">
        <v>26</v>
      </c>
      <c r="G312" t="s">
        <v>10</v>
      </c>
    </row>
    <row r="313" spans="1:7" x14ac:dyDescent="0.25">
      <c r="A313" t="s">
        <v>253</v>
      </c>
      <c r="B313" s="2">
        <v>37</v>
      </c>
      <c r="C313" s="2">
        <v>17</v>
      </c>
      <c r="D313" s="1">
        <v>3</v>
      </c>
      <c r="E313" t="s">
        <v>23</v>
      </c>
      <c r="F313" t="s">
        <v>30</v>
      </c>
      <c r="G313" t="s">
        <v>82</v>
      </c>
    </row>
    <row r="314" spans="1:7" x14ac:dyDescent="0.25">
      <c r="A314" t="s">
        <v>254</v>
      </c>
      <c r="B314" s="2">
        <v>291</v>
      </c>
      <c r="C314" s="2">
        <v>93</v>
      </c>
      <c r="D314" s="1">
        <v>2</v>
      </c>
      <c r="E314" t="s">
        <v>8</v>
      </c>
      <c r="F314" t="s">
        <v>18</v>
      </c>
      <c r="G314" t="s">
        <v>10</v>
      </c>
    </row>
    <row r="315" spans="1:7" x14ac:dyDescent="0.25">
      <c r="A315" t="s">
        <v>215</v>
      </c>
      <c r="B315" s="2">
        <v>327</v>
      </c>
      <c r="C315" s="2">
        <v>-39</v>
      </c>
      <c r="D315" s="1">
        <v>1</v>
      </c>
      <c r="E315" t="s">
        <v>8</v>
      </c>
      <c r="F315" t="s">
        <v>21</v>
      </c>
      <c r="G315" t="s">
        <v>10</v>
      </c>
    </row>
    <row r="316" spans="1:7" x14ac:dyDescent="0.25">
      <c r="A316" t="s">
        <v>231</v>
      </c>
      <c r="B316" s="2">
        <v>291</v>
      </c>
      <c r="C316" s="2">
        <v>119</v>
      </c>
      <c r="D316" s="1">
        <v>11</v>
      </c>
      <c r="E316" t="s">
        <v>23</v>
      </c>
      <c r="F316" t="s">
        <v>26</v>
      </c>
      <c r="G316" t="s">
        <v>10</v>
      </c>
    </row>
    <row r="317" spans="1:7" x14ac:dyDescent="0.25">
      <c r="A317" t="s">
        <v>191</v>
      </c>
      <c r="B317" s="2">
        <v>287</v>
      </c>
      <c r="C317" s="2">
        <v>-66</v>
      </c>
      <c r="D317" s="1">
        <v>6</v>
      </c>
      <c r="E317" t="s">
        <v>23</v>
      </c>
      <c r="F317" t="s">
        <v>32</v>
      </c>
      <c r="G317" t="s">
        <v>10</v>
      </c>
    </row>
    <row r="318" spans="1:7" x14ac:dyDescent="0.25">
      <c r="A318" t="s">
        <v>255</v>
      </c>
      <c r="B318" s="2">
        <v>42</v>
      </c>
      <c r="C318" s="2">
        <v>15</v>
      </c>
      <c r="D318" s="1">
        <v>1</v>
      </c>
      <c r="E318" t="s">
        <v>8</v>
      </c>
      <c r="F318" t="s">
        <v>73</v>
      </c>
      <c r="G318" t="s">
        <v>28</v>
      </c>
    </row>
    <row r="319" spans="1:7" x14ac:dyDescent="0.25">
      <c r="A319" t="s">
        <v>212</v>
      </c>
      <c r="B319" s="2">
        <v>429</v>
      </c>
      <c r="C319" s="2">
        <v>61</v>
      </c>
      <c r="D319" s="1">
        <v>3</v>
      </c>
      <c r="E319" t="s">
        <v>8</v>
      </c>
      <c r="F319" t="s">
        <v>9</v>
      </c>
      <c r="G319" t="s">
        <v>19</v>
      </c>
    </row>
    <row r="320" spans="1:7" x14ac:dyDescent="0.25">
      <c r="A320" t="s">
        <v>256</v>
      </c>
      <c r="B320" s="2">
        <v>285</v>
      </c>
      <c r="C320" s="2">
        <v>128</v>
      </c>
      <c r="D320" s="1">
        <v>2</v>
      </c>
      <c r="E320" t="s">
        <v>8</v>
      </c>
      <c r="F320" t="s">
        <v>18</v>
      </c>
      <c r="G320" t="s">
        <v>10</v>
      </c>
    </row>
    <row r="321" spans="1:7" x14ac:dyDescent="0.25">
      <c r="A321" t="s">
        <v>257</v>
      </c>
      <c r="B321" s="2">
        <v>277</v>
      </c>
      <c r="C321" s="2">
        <v>3</v>
      </c>
      <c r="D321" s="1">
        <v>1</v>
      </c>
      <c r="E321" t="s">
        <v>8</v>
      </c>
      <c r="F321" t="s">
        <v>9</v>
      </c>
      <c r="G321" t="s">
        <v>10</v>
      </c>
    </row>
    <row r="322" spans="1:7" x14ac:dyDescent="0.25">
      <c r="A322" t="s">
        <v>48</v>
      </c>
      <c r="B322" s="2">
        <v>274</v>
      </c>
      <c r="C322" s="2">
        <v>-7</v>
      </c>
      <c r="D322" s="1">
        <v>4</v>
      </c>
      <c r="E322" t="s">
        <v>8</v>
      </c>
      <c r="F322" t="s">
        <v>21</v>
      </c>
      <c r="G322" t="s">
        <v>10</v>
      </c>
    </row>
    <row r="323" spans="1:7" x14ac:dyDescent="0.25">
      <c r="A323" t="s">
        <v>258</v>
      </c>
      <c r="B323" s="2">
        <v>273</v>
      </c>
      <c r="C323" s="2">
        <v>-87</v>
      </c>
      <c r="D323" s="1">
        <v>4</v>
      </c>
      <c r="E323" t="s">
        <v>8</v>
      </c>
      <c r="F323" t="s">
        <v>21</v>
      </c>
      <c r="G323" t="s">
        <v>10</v>
      </c>
    </row>
    <row r="324" spans="1:7" x14ac:dyDescent="0.25">
      <c r="A324" t="s">
        <v>172</v>
      </c>
      <c r="B324" s="2">
        <v>269</v>
      </c>
      <c r="C324" s="2">
        <v>91</v>
      </c>
      <c r="D324" s="1">
        <v>1</v>
      </c>
      <c r="E324" t="s">
        <v>8</v>
      </c>
      <c r="F324" t="s">
        <v>9</v>
      </c>
      <c r="G324" t="s">
        <v>10</v>
      </c>
    </row>
    <row r="325" spans="1:7" x14ac:dyDescent="0.25">
      <c r="A325" t="s">
        <v>254</v>
      </c>
      <c r="B325" s="2">
        <v>11</v>
      </c>
      <c r="C325" s="2">
        <v>5</v>
      </c>
      <c r="D325" s="1">
        <v>1</v>
      </c>
      <c r="E325" t="s">
        <v>23</v>
      </c>
      <c r="F325" t="s">
        <v>43</v>
      </c>
      <c r="G325" t="s">
        <v>10</v>
      </c>
    </row>
    <row r="326" spans="1:7" x14ac:dyDescent="0.25">
      <c r="A326" t="s">
        <v>15</v>
      </c>
      <c r="B326" s="2">
        <v>39</v>
      </c>
      <c r="C326" s="2">
        <v>2</v>
      </c>
      <c r="D326" s="1">
        <v>2</v>
      </c>
      <c r="E326" t="s">
        <v>23</v>
      </c>
      <c r="F326" t="s">
        <v>26</v>
      </c>
      <c r="G326" t="s">
        <v>82</v>
      </c>
    </row>
    <row r="327" spans="1:7" x14ac:dyDescent="0.25">
      <c r="A327" t="s">
        <v>243</v>
      </c>
      <c r="B327" s="2">
        <v>264</v>
      </c>
      <c r="C327" s="2">
        <v>-26</v>
      </c>
      <c r="D327" s="1">
        <v>3</v>
      </c>
      <c r="E327" t="s">
        <v>23</v>
      </c>
      <c r="F327" t="s">
        <v>24</v>
      </c>
      <c r="G327" t="s">
        <v>10</v>
      </c>
    </row>
    <row r="328" spans="1:7" x14ac:dyDescent="0.25">
      <c r="A328" t="s">
        <v>259</v>
      </c>
      <c r="B328" s="2">
        <v>40</v>
      </c>
      <c r="C328" s="2">
        <v>16</v>
      </c>
      <c r="D328" s="1">
        <v>3</v>
      </c>
      <c r="E328" t="s">
        <v>23</v>
      </c>
      <c r="F328" t="s">
        <v>30</v>
      </c>
      <c r="G328" t="s">
        <v>82</v>
      </c>
    </row>
    <row r="329" spans="1:7" x14ac:dyDescent="0.25">
      <c r="A329" t="s">
        <v>260</v>
      </c>
      <c r="B329" s="2">
        <v>41</v>
      </c>
      <c r="C329" s="2">
        <v>19</v>
      </c>
      <c r="D329" s="1">
        <v>2</v>
      </c>
      <c r="E329" t="s">
        <v>23</v>
      </c>
      <c r="F329" t="s">
        <v>81</v>
      </c>
      <c r="G329" t="s">
        <v>82</v>
      </c>
    </row>
    <row r="330" spans="1:7" x14ac:dyDescent="0.25">
      <c r="A330" t="s">
        <v>222</v>
      </c>
      <c r="B330" s="2">
        <v>253</v>
      </c>
      <c r="C330" s="2">
        <v>-63</v>
      </c>
      <c r="D330" s="1">
        <v>2</v>
      </c>
      <c r="E330" t="s">
        <v>23</v>
      </c>
      <c r="F330" t="s">
        <v>26</v>
      </c>
      <c r="G330" t="s">
        <v>28</v>
      </c>
    </row>
    <row r="331" spans="1:7" x14ac:dyDescent="0.25">
      <c r="A331" t="s">
        <v>261</v>
      </c>
      <c r="B331" s="2">
        <v>406</v>
      </c>
      <c r="C331" s="2">
        <v>97</v>
      </c>
      <c r="D331" s="1">
        <v>7</v>
      </c>
      <c r="E331" t="s">
        <v>12</v>
      </c>
      <c r="F331" t="s">
        <v>13</v>
      </c>
      <c r="G331" t="s">
        <v>19</v>
      </c>
    </row>
    <row r="332" spans="1:7" x14ac:dyDescent="0.25">
      <c r="A332" t="s">
        <v>262</v>
      </c>
      <c r="B332" s="2">
        <v>32</v>
      </c>
      <c r="C332" s="2">
        <v>7</v>
      </c>
      <c r="D332" s="1">
        <v>3</v>
      </c>
      <c r="E332" t="s">
        <v>23</v>
      </c>
      <c r="F332" t="s">
        <v>30</v>
      </c>
      <c r="G332" t="s">
        <v>10</v>
      </c>
    </row>
    <row r="333" spans="1:7" x14ac:dyDescent="0.25">
      <c r="A333" t="s">
        <v>177</v>
      </c>
      <c r="B333" s="2">
        <v>260</v>
      </c>
      <c r="C333" s="2">
        <v>68</v>
      </c>
      <c r="D333" s="1">
        <v>2</v>
      </c>
      <c r="E333" t="s">
        <v>8</v>
      </c>
      <c r="F333" t="s">
        <v>18</v>
      </c>
      <c r="G333" t="s">
        <v>10</v>
      </c>
    </row>
    <row r="334" spans="1:7" x14ac:dyDescent="0.25">
      <c r="A334" t="s">
        <v>263</v>
      </c>
      <c r="B334" s="2">
        <v>41</v>
      </c>
      <c r="C334" s="2">
        <v>19</v>
      </c>
      <c r="D334" s="1">
        <v>5</v>
      </c>
      <c r="E334" t="s">
        <v>23</v>
      </c>
      <c r="F334" t="s">
        <v>30</v>
      </c>
      <c r="G334" t="s">
        <v>82</v>
      </c>
    </row>
    <row r="335" spans="1:7" x14ac:dyDescent="0.25">
      <c r="A335" t="s">
        <v>55</v>
      </c>
      <c r="B335" s="2">
        <v>401</v>
      </c>
      <c r="C335" s="2">
        <v>13</v>
      </c>
      <c r="D335" s="1">
        <v>6</v>
      </c>
      <c r="E335" t="s">
        <v>12</v>
      </c>
      <c r="F335" t="s">
        <v>13</v>
      </c>
      <c r="G335" t="s">
        <v>19</v>
      </c>
    </row>
    <row r="336" spans="1:7" x14ac:dyDescent="0.25">
      <c r="A336" t="s">
        <v>259</v>
      </c>
      <c r="B336" s="2">
        <v>382</v>
      </c>
      <c r="C336" s="2">
        <v>30</v>
      </c>
      <c r="D336" s="1">
        <v>3</v>
      </c>
      <c r="E336" t="s">
        <v>23</v>
      </c>
      <c r="F336" t="s">
        <v>26</v>
      </c>
      <c r="G336" t="s">
        <v>19</v>
      </c>
    </row>
    <row r="337" spans="1:7" x14ac:dyDescent="0.25">
      <c r="A337" t="s">
        <v>264</v>
      </c>
      <c r="B337" s="2">
        <v>867</v>
      </c>
      <c r="C337" s="2">
        <v>251</v>
      </c>
      <c r="D337" s="1">
        <v>5</v>
      </c>
      <c r="E337" t="s">
        <v>8</v>
      </c>
      <c r="F337" t="s">
        <v>21</v>
      </c>
      <c r="G337" t="s">
        <v>10</v>
      </c>
    </row>
    <row r="338" spans="1:7" x14ac:dyDescent="0.25">
      <c r="A338" t="s">
        <v>265</v>
      </c>
      <c r="B338" s="2">
        <v>43</v>
      </c>
      <c r="C338" s="2">
        <v>0</v>
      </c>
      <c r="D338" s="1">
        <v>3</v>
      </c>
      <c r="E338" t="s">
        <v>23</v>
      </c>
      <c r="F338" t="s">
        <v>26</v>
      </c>
      <c r="G338" t="s">
        <v>82</v>
      </c>
    </row>
    <row r="339" spans="1:7" x14ac:dyDescent="0.25">
      <c r="A339" t="s">
        <v>266</v>
      </c>
      <c r="B339" s="2">
        <v>43</v>
      </c>
      <c r="C339" s="2">
        <v>-43</v>
      </c>
      <c r="D339" s="1">
        <v>7</v>
      </c>
      <c r="E339" t="s">
        <v>23</v>
      </c>
      <c r="F339" t="s">
        <v>57</v>
      </c>
      <c r="G339" t="s">
        <v>82</v>
      </c>
    </row>
    <row r="340" spans="1:7" x14ac:dyDescent="0.25">
      <c r="A340" t="s">
        <v>217</v>
      </c>
      <c r="B340" s="2">
        <v>74</v>
      </c>
      <c r="C340" s="2">
        <v>29</v>
      </c>
      <c r="D340" s="1">
        <v>3</v>
      </c>
      <c r="E340" t="s">
        <v>23</v>
      </c>
      <c r="F340" t="s">
        <v>57</v>
      </c>
      <c r="G340" t="s">
        <v>10</v>
      </c>
    </row>
    <row r="341" spans="1:7" x14ac:dyDescent="0.25">
      <c r="A341" t="s">
        <v>38</v>
      </c>
      <c r="B341" s="2">
        <v>44</v>
      </c>
      <c r="C341" s="2">
        <v>-26</v>
      </c>
      <c r="D341" s="1">
        <v>3</v>
      </c>
      <c r="E341" t="s">
        <v>23</v>
      </c>
      <c r="F341" t="s">
        <v>30</v>
      </c>
      <c r="G341" t="s">
        <v>82</v>
      </c>
    </row>
    <row r="342" spans="1:7" x14ac:dyDescent="0.25">
      <c r="A342" t="s">
        <v>267</v>
      </c>
      <c r="B342" s="2">
        <v>259</v>
      </c>
      <c r="C342" s="2">
        <v>-55</v>
      </c>
      <c r="D342" s="1">
        <v>2</v>
      </c>
      <c r="E342" t="s">
        <v>12</v>
      </c>
      <c r="F342" t="s">
        <v>13</v>
      </c>
      <c r="G342" t="s">
        <v>10</v>
      </c>
    </row>
    <row r="343" spans="1:7" x14ac:dyDescent="0.25">
      <c r="A343" t="s">
        <v>87</v>
      </c>
      <c r="B343" s="2">
        <v>257</v>
      </c>
      <c r="C343" s="2">
        <v>23</v>
      </c>
      <c r="D343" s="1">
        <v>5</v>
      </c>
      <c r="E343" t="s">
        <v>23</v>
      </c>
      <c r="F343" t="s">
        <v>30</v>
      </c>
      <c r="G343" t="s">
        <v>10</v>
      </c>
    </row>
    <row r="344" spans="1:7" x14ac:dyDescent="0.25">
      <c r="A344" t="s">
        <v>127</v>
      </c>
      <c r="B344" s="2">
        <v>76</v>
      </c>
      <c r="C344" s="2">
        <v>27</v>
      </c>
      <c r="D344" s="1">
        <v>5</v>
      </c>
      <c r="E344" t="s">
        <v>23</v>
      </c>
      <c r="F344" t="s">
        <v>57</v>
      </c>
      <c r="G344" t="s">
        <v>10</v>
      </c>
    </row>
    <row r="345" spans="1:7" x14ac:dyDescent="0.25">
      <c r="A345" t="s">
        <v>268</v>
      </c>
      <c r="B345" s="2">
        <v>44</v>
      </c>
      <c r="C345" s="2">
        <v>-32</v>
      </c>
      <c r="D345" s="1">
        <v>3</v>
      </c>
      <c r="E345" t="s">
        <v>23</v>
      </c>
      <c r="F345" t="s">
        <v>57</v>
      </c>
      <c r="G345" t="s">
        <v>82</v>
      </c>
    </row>
    <row r="346" spans="1:7" x14ac:dyDescent="0.25">
      <c r="A346" t="s">
        <v>269</v>
      </c>
      <c r="B346" s="2">
        <v>257</v>
      </c>
      <c r="C346" s="2">
        <v>3</v>
      </c>
      <c r="D346" s="1">
        <v>2</v>
      </c>
      <c r="E346" t="s">
        <v>23</v>
      </c>
      <c r="F346" t="s">
        <v>26</v>
      </c>
      <c r="G346" t="s">
        <v>10</v>
      </c>
    </row>
    <row r="347" spans="1:7" x14ac:dyDescent="0.25">
      <c r="A347" t="s">
        <v>270</v>
      </c>
      <c r="B347" s="2">
        <v>255</v>
      </c>
      <c r="C347" s="2">
        <v>76</v>
      </c>
      <c r="D347" s="1">
        <v>9</v>
      </c>
      <c r="E347" t="s">
        <v>23</v>
      </c>
      <c r="F347" t="s">
        <v>30</v>
      </c>
      <c r="G347" t="s">
        <v>10</v>
      </c>
    </row>
    <row r="348" spans="1:7" x14ac:dyDescent="0.25">
      <c r="A348" t="s">
        <v>271</v>
      </c>
      <c r="B348" s="2">
        <v>44</v>
      </c>
      <c r="C348" s="2">
        <v>14</v>
      </c>
      <c r="D348" s="1">
        <v>3</v>
      </c>
      <c r="E348" t="s">
        <v>23</v>
      </c>
      <c r="F348" t="s">
        <v>30</v>
      </c>
      <c r="G348" t="s">
        <v>82</v>
      </c>
    </row>
    <row r="349" spans="1:7" x14ac:dyDescent="0.25">
      <c r="A349" t="s">
        <v>221</v>
      </c>
      <c r="B349" s="2">
        <v>45</v>
      </c>
      <c r="C349" s="2">
        <v>-2</v>
      </c>
      <c r="D349" s="1">
        <v>4</v>
      </c>
      <c r="E349" t="s">
        <v>23</v>
      </c>
      <c r="F349" t="s">
        <v>142</v>
      </c>
      <c r="G349" t="s">
        <v>10</v>
      </c>
    </row>
    <row r="350" spans="1:7" x14ac:dyDescent="0.25">
      <c r="A350" t="s">
        <v>7</v>
      </c>
      <c r="B350" s="2">
        <v>44</v>
      </c>
      <c r="C350" s="2">
        <v>-3</v>
      </c>
      <c r="D350" s="1">
        <v>1</v>
      </c>
      <c r="E350" t="s">
        <v>23</v>
      </c>
      <c r="F350" t="s">
        <v>26</v>
      </c>
      <c r="G350" t="s">
        <v>82</v>
      </c>
    </row>
    <row r="351" spans="1:7" x14ac:dyDescent="0.25">
      <c r="A351" t="s">
        <v>88</v>
      </c>
      <c r="B351" s="2">
        <v>382</v>
      </c>
      <c r="C351" s="2">
        <v>119</v>
      </c>
      <c r="D351" s="1">
        <v>2</v>
      </c>
      <c r="E351" t="s">
        <v>23</v>
      </c>
      <c r="F351" t="s">
        <v>26</v>
      </c>
      <c r="G351" t="s">
        <v>19</v>
      </c>
    </row>
    <row r="352" spans="1:7" x14ac:dyDescent="0.25">
      <c r="A352" t="s">
        <v>179</v>
      </c>
      <c r="B352" s="2">
        <v>250</v>
      </c>
      <c r="C352" s="2">
        <v>100</v>
      </c>
      <c r="D352" s="1">
        <v>3</v>
      </c>
      <c r="E352" t="s">
        <v>23</v>
      </c>
      <c r="F352" t="s">
        <v>24</v>
      </c>
      <c r="G352" t="s">
        <v>10</v>
      </c>
    </row>
    <row r="353" spans="1:7" x14ac:dyDescent="0.25">
      <c r="A353" t="s">
        <v>272</v>
      </c>
      <c r="B353" s="2">
        <v>45</v>
      </c>
      <c r="C353" s="2">
        <v>-15</v>
      </c>
      <c r="D353" s="1">
        <v>2</v>
      </c>
      <c r="E353" t="s">
        <v>12</v>
      </c>
      <c r="F353" t="s">
        <v>13</v>
      </c>
      <c r="G353" t="s">
        <v>10</v>
      </c>
    </row>
    <row r="354" spans="1:7" x14ac:dyDescent="0.25">
      <c r="A354" t="s">
        <v>167</v>
      </c>
      <c r="B354" s="2">
        <v>246</v>
      </c>
      <c r="C354" s="2">
        <v>61</v>
      </c>
      <c r="D354" s="1">
        <v>2</v>
      </c>
      <c r="E354" t="s">
        <v>12</v>
      </c>
      <c r="F354" t="s">
        <v>16</v>
      </c>
      <c r="G354" t="s">
        <v>10</v>
      </c>
    </row>
    <row r="355" spans="1:7" x14ac:dyDescent="0.25">
      <c r="A355" t="s">
        <v>254</v>
      </c>
      <c r="B355" s="2">
        <v>50</v>
      </c>
      <c r="C355" s="2">
        <v>25</v>
      </c>
      <c r="D355" s="1">
        <v>5</v>
      </c>
      <c r="E355" t="s">
        <v>23</v>
      </c>
      <c r="F355" t="s">
        <v>57</v>
      </c>
      <c r="G355" t="s">
        <v>10</v>
      </c>
    </row>
    <row r="356" spans="1:7" x14ac:dyDescent="0.25">
      <c r="A356" t="s">
        <v>273</v>
      </c>
      <c r="B356" s="2">
        <v>246</v>
      </c>
      <c r="C356" s="2">
        <v>98</v>
      </c>
      <c r="D356" s="1">
        <v>5</v>
      </c>
      <c r="E356" t="s">
        <v>23</v>
      </c>
      <c r="F356" t="s">
        <v>30</v>
      </c>
      <c r="G356" t="s">
        <v>10</v>
      </c>
    </row>
    <row r="357" spans="1:7" x14ac:dyDescent="0.25">
      <c r="A357" t="s">
        <v>25</v>
      </c>
      <c r="B357" s="2">
        <v>44</v>
      </c>
      <c r="C357" s="2">
        <v>99</v>
      </c>
      <c r="D357" s="1">
        <v>3</v>
      </c>
      <c r="E357" t="s">
        <v>23</v>
      </c>
      <c r="F357" t="s">
        <v>32</v>
      </c>
      <c r="G357" t="s">
        <v>82</v>
      </c>
    </row>
    <row r="358" spans="1:7" x14ac:dyDescent="0.25">
      <c r="A358" t="s">
        <v>274</v>
      </c>
      <c r="B358" s="2">
        <v>245</v>
      </c>
      <c r="C358" s="2">
        <v>-78</v>
      </c>
      <c r="D358" s="1">
        <v>3</v>
      </c>
      <c r="E358" t="s">
        <v>23</v>
      </c>
      <c r="F358" t="s">
        <v>26</v>
      </c>
      <c r="G358" t="s">
        <v>10</v>
      </c>
    </row>
    <row r="359" spans="1:7" x14ac:dyDescent="0.25">
      <c r="A359" t="s">
        <v>187</v>
      </c>
      <c r="B359" s="2">
        <v>245</v>
      </c>
      <c r="C359" s="2">
        <v>30</v>
      </c>
      <c r="D359" s="1">
        <v>2</v>
      </c>
      <c r="E359" t="s">
        <v>23</v>
      </c>
      <c r="F359" t="s">
        <v>26</v>
      </c>
      <c r="G359" t="s">
        <v>10</v>
      </c>
    </row>
    <row r="360" spans="1:7" x14ac:dyDescent="0.25">
      <c r="A360" t="s">
        <v>275</v>
      </c>
      <c r="B360" s="2">
        <v>376</v>
      </c>
      <c r="C360" s="2">
        <v>0</v>
      </c>
      <c r="D360" s="1">
        <v>7</v>
      </c>
      <c r="E360" t="s">
        <v>23</v>
      </c>
      <c r="F360" t="s">
        <v>57</v>
      </c>
      <c r="G360" t="s">
        <v>19</v>
      </c>
    </row>
    <row r="361" spans="1:7" x14ac:dyDescent="0.25">
      <c r="A361" t="s">
        <v>111</v>
      </c>
      <c r="B361" s="2">
        <v>45</v>
      </c>
      <c r="C361" s="2">
        <v>1</v>
      </c>
      <c r="D361" s="1">
        <v>3</v>
      </c>
      <c r="E361" t="s">
        <v>23</v>
      </c>
      <c r="F361" t="s">
        <v>81</v>
      </c>
      <c r="G361" t="s">
        <v>82</v>
      </c>
    </row>
    <row r="362" spans="1:7" x14ac:dyDescent="0.25">
      <c r="A362" t="s">
        <v>276</v>
      </c>
      <c r="B362" s="2">
        <v>45</v>
      </c>
      <c r="C362" s="2">
        <v>-28</v>
      </c>
      <c r="D362" s="1">
        <v>2</v>
      </c>
      <c r="E362" t="s">
        <v>23</v>
      </c>
      <c r="F362" t="s">
        <v>57</v>
      </c>
      <c r="G362" t="s">
        <v>82</v>
      </c>
    </row>
    <row r="363" spans="1:7" x14ac:dyDescent="0.25">
      <c r="A363" t="s">
        <v>277</v>
      </c>
      <c r="B363" s="2">
        <v>244</v>
      </c>
      <c r="C363" s="2">
        <v>-122</v>
      </c>
      <c r="D363" s="1">
        <v>5</v>
      </c>
      <c r="E363" t="s">
        <v>12</v>
      </c>
      <c r="F363" t="s">
        <v>131</v>
      </c>
      <c r="G363" t="s">
        <v>10</v>
      </c>
    </row>
    <row r="364" spans="1:7" x14ac:dyDescent="0.25">
      <c r="A364" t="s">
        <v>278</v>
      </c>
      <c r="B364" s="2">
        <v>244</v>
      </c>
      <c r="C364" s="2">
        <v>83</v>
      </c>
      <c r="D364" s="1">
        <v>2</v>
      </c>
      <c r="E364" t="s">
        <v>12</v>
      </c>
      <c r="F364" t="s">
        <v>16</v>
      </c>
      <c r="G364" t="s">
        <v>10</v>
      </c>
    </row>
    <row r="365" spans="1:7" x14ac:dyDescent="0.25">
      <c r="A365" t="s">
        <v>170</v>
      </c>
      <c r="B365" s="2">
        <v>10</v>
      </c>
      <c r="C365" s="2">
        <v>4</v>
      </c>
      <c r="D365" s="1">
        <v>1</v>
      </c>
      <c r="E365" t="s">
        <v>23</v>
      </c>
      <c r="F365" t="s">
        <v>32</v>
      </c>
      <c r="G365" t="s">
        <v>28</v>
      </c>
    </row>
    <row r="366" spans="1:7" x14ac:dyDescent="0.25">
      <c r="A366" t="s">
        <v>249</v>
      </c>
      <c r="B366" s="2">
        <v>375</v>
      </c>
      <c r="C366" s="2">
        <v>180</v>
      </c>
      <c r="D366" s="1">
        <v>3</v>
      </c>
      <c r="E366" t="s">
        <v>12</v>
      </c>
      <c r="F366" t="s">
        <v>16</v>
      </c>
      <c r="G366" t="s">
        <v>19</v>
      </c>
    </row>
    <row r="367" spans="1:7" x14ac:dyDescent="0.25">
      <c r="A367" t="s">
        <v>104</v>
      </c>
      <c r="B367" s="2">
        <v>46</v>
      </c>
      <c r="C367" s="2">
        <v>14</v>
      </c>
      <c r="D367" s="1">
        <v>5</v>
      </c>
      <c r="E367" t="s">
        <v>23</v>
      </c>
      <c r="F367" t="s">
        <v>43</v>
      </c>
      <c r="G367" t="s">
        <v>82</v>
      </c>
    </row>
    <row r="368" spans="1:7" x14ac:dyDescent="0.25">
      <c r="A368" t="s">
        <v>279</v>
      </c>
      <c r="B368" s="2">
        <v>49</v>
      </c>
      <c r="C368" s="2">
        <v>-31</v>
      </c>
      <c r="D368" s="1">
        <v>2</v>
      </c>
      <c r="E368" t="s">
        <v>23</v>
      </c>
      <c r="F368" t="s">
        <v>57</v>
      </c>
      <c r="G368" t="s">
        <v>28</v>
      </c>
    </row>
    <row r="369" spans="1:7" x14ac:dyDescent="0.25">
      <c r="A369" t="s">
        <v>280</v>
      </c>
      <c r="B369" s="2">
        <v>47</v>
      </c>
      <c r="C369" s="2">
        <v>-20</v>
      </c>
      <c r="D369" s="1">
        <v>2</v>
      </c>
      <c r="E369" t="s">
        <v>23</v>
      </c>
      <c r="F369" t="s">
        <v>32</v>
      </c>
      <c r="G369" t="s">
        <v>82</v>
      </c>
    </row>
    <row r="370" spans="1:7" x14ac:dyDescent="0.25">
      <c r="A370" t="s">
        <v>202</v>
      </c>
      <c r="B370" s="2">
        <v>355</v>
      </c>
      <c r="C370" s="2">
        <v>-114</v>
      </c>
      <c r="D370" s="1">
        <v>7</v>
      </c>
      <c r="E370" t="s">
        <v>23</v>
      </c>
      <c r="F370" t="s">
        <v>57</v>
      </c>
      <c r="G370" t="s">
        <v>19</v>
      </c>
    </row>
    <row r="371" spans="1:7" x14ac:dyDescent="0.25">
      <c r="A371" t="s">
        <v>281</v>
      </c>
      <c r="B371" s="2">
        <v>32</v>
      </c>
      <c r="C371" s="2">
        <v>8</v>
      </c>
      <c r="D371" s="1">
        <v>5</v>
      </c>
      <c r="E371" t="s">
        <v>23</v>
      </c>
      <c r="F371" t="s">
        <v>30</v>
      </c>
      <c r="G371" t="s">
        <v>28</v>
      </c>
    </row>
    <row r="372" spans="1:7" x14ac:dyDescent="0.25">
      <c r="A372" t="s">
        <v>7</v>
      </c>
      <c r="B372" s="2">
        <v>243</v>
      </c>
      <c r="C372" s="2">
        <v>-14</v>
      </c>
      <c r="D372" s="1">
        <v>2</v>
      </c>
      <c r="E372" t="s">
        <v>12</v>
      </c>
      <c r="F372" t="s">
        <v>13</v>
      </c>
      <c r="G372" t="s">
        <v>10</v>
      </c>
    </row>
    <row r="373" spans="1:7" x14ac:dyDescent="0.25">
      <c r="A373" t="s">
        <v>282</v>
      </c>
      <c r="B373" s="2">
        <v>241</v>
      </c>
      <c r="C373" s="2">
        <v>-77</v>
      </c>
      <c r="D373" s="1">
        <v>4</v>
      </c>
      <c r="E373" t="s">
        <v>8</v>
      </c>
      <c r="F373" t="s">
        <v>9</v>
      </c>
      <c r="G373" t="s">
        <v>10</v>
      </c>
    </row>
    <row r="374" spans="1:7" x14ac:dyDescent="0.25">
      <c r="A374" t="s">
        <v>283</v>
      </c>
      <c r="B374" s="2">
        <v>47</v>
      </c>
      <c r="C374" s="2">
        <v>15</v>
      </c>
      <c r="D374" s="1">
        <v>5</v>
      </c>
      <c r="E374" t="s">
        <v>23</v>
      </c>
      <c r="F374" t="s">
        <v>26</v>
      </c>
      <c r="G374" t="s">
        <v>82</v>
      </c>
    </row>
    <row r="375" spans="1:7" x14ac:dyDescent="0.25">
      <c r="A375" t="s">
        <v>49</v>
      </c>
      <c r="B375" s="2">
        <v>50</v>
      </c>
      <c r="C375" s="2">
        <v>-10</v>
      </c>
      <c r="D375" s="1">
        <v>6</v>
      </c>
      <c r="E375" t="s">
        <v>23</v>
      </c>
      <c r="F375" t="s">
        <v>43</v>
      </c>
      <c r="G375" t="s">
        <v>82</v>
      </c>
    </row>
    <row r="376" spans="1:7" x14ac:dyDescent="0.25">
      <c r="A376" t="s">
        <v>211</v>
      </c>
      <c r="B376" s="2">
        <v>15</v>
      </c>
      <c r="C376" s="2">
        <v>6</v>
      </c>
      <c r="D376" s="1">
        <v>2</v>
      </c>
      <c r="E376" t="s">
        <v>23</v>
      </c>
      <c r="F376" t="s">
        <v>30</v>
      </c>
      <c r="G376" t="s">
        <v>10</v>
      </c>
    </row>
    <row r="377" spans="1:7" x14ac:dyDescent="0.25">
      <c r="A377" t="s">
        <v>111</v>
      </c>
      <c r="B377" s="2">
        <v>148</v>
      </c>
      <c r="C377" s="2">
        <v>24</v>
      </c>
      <c r="D377" s="1">
        <v>3</v>
      </c>
      <c r="E377" t="s">
        <v>23</v>
      </c>
      <c r="F377" t="s">
        <v>57</v>
      </c>
      <c r="G377" t="s">
        <v>10</v>
      </c>
    </row>
    <row r="378" spans="1:7" x14ac:dyDescent="0.25">
      <c r="A378" t="s">
        <v>284</v>
      </c>
      <c r="B378" s="2">
        <v>299</v>
      </c>
      <c r="C378" s="2">
        <v>-28</v>
      </c>
      <c r="D378" s="1">
        <v>3</v>
      </c>
      <c r="E378" t="s">
        <v>8</v>
      </c>
      <c r="F378" t="s">
        <v>9</v>
      </c>
      <c r="G378" t="s">
        <v>28</v>
      </c>
    </row>
    <row r="379" spans="1:7" x14ac:dyDescent="0.25">
      <c r="A379" t="s">
        <v>112</v>
      </c>
      <c r="B379" s="2">
        <v>68</v>
      </c>
      <c r="C379" s="2">
        <v>-30</v>
      </c>
      <c r="D379" s="1">
        <v>1</v>
      </c>
      <c r="E379" t="s">
        <v>8</v>
      </c>
      <c r="F379" t="s">
        <v>21</v>
      </c>
      <c r="G379" t="s">
        <v>28</v>
      </c>
    </row>
    <row r="380" spans="1:7" x14ac:dyDescent="0.25">
      <c r="A380" t="s">
        <v>111</v>
      </c>
      <c r="B380" s="2">
        <v>52</v>
      </c>
      <c r="C380" s="2">
        <v>18</v>
      </c>
      <c r="D380" s="1">
        <v>5</v>
      </c>
      <c r="E380" t="s">
        <v>23</v>
      </c>
      <c r="F380" t="s">
        <v>63</v>
      </c>
      <c r="G380" t="s">
        <v>82</v>
      </c>
    </row>
    <row r="381" spans="1:7" x14ac:dyDescent="0.25">
      <c r="A381" t="s">
        <v>163</v>
      </c>
      <c r="B381" s="2">
        <v>239</v>
      </c>
      <c r="C381" s="2">
        <v>-162</v>
      </c>
      <c r="D381" s="1">
        <v>5</v>
      </c>
      <c r="E381" t="s">
        <v>12</v>
      </c>
      <c r="F381" t="s">
        <v>13</v>
      </c>
      <c r="G381" t="s">
        <v>10</v>
      </c>
    </row>
    <row r="382" spans="1:7" x14ac:dyDescent="0.25">
      <c r="A382" t="s">
        <v>167</v>
      </c>
      <c r="B382" s="2">
        <v>27</v>
      </c>
      <c r="C382" s="2">
        <v>6</v>
      </c>
      <c r="D382" s="1">
        <v>3</v>
      </c>
      <c r="E382" t="s">
        <v>23</v>
      </c>
      <c r="F382" t="s">
        <v>43</v>
      </c>
      <c r="G382" t="s">
        <v>10</v>
      </c>
    </row>
    <row r="383" spans="1:7" x14ac:dyDescent="0.25">
      <c r="A383" t="s">
        <v>135</v>
      </c>
      <c r="B383" s="2">
        <v>238</v>
      </c>
      <c r="C383" s="2">
        <v>20</v>
      </c>
      <c r="D383" s="1">
        <v>2</v>
      </c>
      <c r="E383" t="s">
        <v>23</v>
      </c>
      <c r="F383" t="s">
        <v>26</v>
      </c>
      <c r="G383" t="s">
        <v>10</v>
      </c>
    </row>
    <row r="384" spans="1:7" x14ac:dyDescent="0.25">
      <c r="A384" t="s">
        <v>209</v>
      </c>
      <c r="B384" s="2">
        <v>48</v>
      </c>
      <c r="C384" s="2">
        <v>16</v>
      </c>
      <c r="D384" s="1">
        <v>3</v>
      </c>
      <c r="E384" t="s">
        <v>23</v>
      </c>
      <c r="F384" t="s">
        <v>142</v>
      </c>
      <c r="G384" t="s">
        <v>10</v>
      </c>
    </row>
    <row r="385" spans="1:7" x14ac:dyDescent="0.25">
      <c r="A385" t="s">
        <v>285</v>
      </c>
      <c r="B385" s="2">
        <v>66</v>
      </c>
      <c r="C385" s="2">
        <v>22</v>
      </c>
      <c r="D385" s="1">
        <v>3</v>
      </c>
      <c r="E385" t="s">
        <v>23</v>
      </c>
      <c r="F385" t="s">
        <v>57</v>
      </c>
      <c r="G385" t="s">
        <v>28</v>
      </c>
    </row>
    <row r="386" spans="1:7" x14ac:dyDescent="0.25">
      <c r="A386" t="s">
        <v>286</v>
      </c>
      <c r="B386" s="2">
        <v>53</v>
      </c>
      <c r="C386" s="2">
        <v>24</v>
      </c>
      <c r="D386" s="1">
        <v>1</v>
      </c>
      <c r="E386" t="s">
        <v>23</v>
      </c>
      <c r="F386" t="s">
        <v>30</v>
      </c>
      <c r="G386" t="s">
        <v>82</v>
      </c>
    </row>
    <row r="387" spans="1:7" x14ac:dyDescent="0.25">
      <c r="A387" t="s">
        <v>239</v>
      </c>
      <c r="B387" s="2">
        <v>233</v>
      </c>
      <c r="C387" s="2">
        <v>-10</v>
      </c>
      <c r="D387" s="1">
        <v>5</v>
      </c>
      <c r="E387" t="s">
        <v>8</v>
      </c>
      <c r="F387" t="s">
        <v>9</v>
      </c>
      <c r="G387" t="s">
        <v>10</v>
      </c>
    </row>
    <row r="388" spans="1:7" x14ac:dyDescent="0.25">
      <c r="A388" t="s">
        <v>234</v>
      </c>
      <c r="B388" s="2">
        <v>53</v>
      </c>
      <c r="C388" s="2">
        <v>-2</v>
      </c>
      <c r="D388" s="1">
        <v>3</v>
      </c>
      <c r="E388" t="s">
        <v>23</v>
      </c>
      <c r="F388" t="s">
        <v>26</v>
      </c>
      <c r="G388" t="s">
        <v>82</v>
      </c>
    </row>
    <row r="389" spans="1:7" x14ac:dyDescent="0.25">
      <c r="A389" t="s">
        <v>207</v>
      </c>
      <c r="B389" s="2">
        <v>54</v>
      </c>
      <c r="C389" s="2">
        <v>8</v>
      </c>
      <c r="D389" s="1">
        <v>4</v>
      </c>
      <c r="E389" t="s">
        <v>23</v>
      </c>
      <c r="F389" t="s">
        <v>81</v>
      </c>
      <c r="G389" t="s">
        <v>82</v>
      </c>
    </row>
    <row r="390" spans="1:7" x14ac:dyDescent="0.25">
      <c r="A390" t="s">
        <v>287</v>
      </c>
      <c r="B390" s="2">
        <v>352</v>
      </c>
      <c r="C390" s="2">
        <v>-345</v>
      </c>
      <c r="D390" s="1">
        <v>5</v>
      </c>
      <c r="E390" t="s">
        <v>23</v>
      </c>
      <c r="F390" t="s">
        <v>26</v>
      </c>
      <c r="G390" t="s">
        <v>19</v>
      </c>
    </row>
    <row r="391" spans="1:7" x14ac:dyDescent="0.25">
      <c r="A391" t="s">
        <v>146</v>
      </c>
      <c r="B391" s="2">
        <v>349</v>
      </c>
      <c r="C391" s="2">
        <v>0</v>
      </c>
      <c r="D391" s="1">
        <v>7</v>
      </c>
      <c r="E391" t="s">
        <v>23</v>
      </c>
      <c r="F391" t="s">
        <v>57</v>
      </c>
      <c r="G391" t="s">
        <v>19</v>
      </c>
    </row>
    <row r="392" spans="1:7" x14ac:dyDescent="0.25">
      <c r="A392" t="s">
        <v>288</v>
      </c>
      <c r="B392" s="2">
        <v>341</v>
      </c>
      <c r="C392" s="2">
        <v>-85</v>
      </c>
      <c r="D392" s="1">
        <v>6</v>
      </c>
      <c r="E392" t="s">
        <v>23</v>
      </c>
      <c r="F392" t="s">
        <v>24</v>
      </c>
      <c r="G392" t="s">
        <v>19</v>
      </c>
    </row>
    <row r="393" spans="1:7" x14ac:dyDescent="0.25">
      <c r="A393" t="s">
        <v>264</v>
      </c>
      <c r="B393" s="2">
        <v>54</v>
      </c>
      <c r="C393" s="2">
        <v>12</v>
      </c>
      <c r="D393" s="1">
        <v>3</v>
      </c>
      <c r="E393" t="s">
        <v>23</v>
      </c>
      <c r="F393" t="s">
        <v>26</v>
      </c>
      <c r="G393" t="s">
        <v>82</v>
      </c>
    </row>
    <row r="394" spans="1:7" x14ac:dyDescent="0.25">
      <c r="A394" t="s">
        <v>11</v>
      </c>
      <c r="B394" s="2">
        <v>57</v>
      </c>
      <c r="C394" s="2">
        <v>7</v>
      </c>
      <c r="D394" s="1">
        <v>2</v>
      </c>
      <c r="E394" t="s">
        <v>23</v>
      </c>
      <c r="F394" t="s">
        <v>142</v>
      </c>
      <c r="G394" t="s">
        <v>28</v>
      </c>
    </row>
    <row r="395" spans="1:7" x14ac:dyDescent="0.25">
      <c r="A395" t="s">
        <v>85</v>
      </c>
      <c r="B395" s="2">
        <v>340</v>
      </c>
      <c r="C395" s="2">
        <v>20</v>
      </c>
      <c r="D395" s="1">
        <v>7</v>
      </c>
      <c r="E395" t="s">
        <v>23</v>
      </c>
      <c r="F395" t="s">
        <v>142</v>
      </c>
      <c r="G395" t="s">
        <v>19</v>
      </c>
    </row>
    <row r="396" spans="1:7" x14ac:dyDescent="0.25">
      <c r="A396" t="s">
        <v>11</v>
      </c>
      <c r="B396" s="2">
        <v>227</v>
      </c>
      <c r="C396" s="2">
        <v>48</v>
      </c>
      <c r="D396" s="1">
        <v>5</v>
      </c>
      <c r="E396" t="s">
        <v>23</v>
      </c>
      <c r="F396" t="s">
        <v>57</v>
      </c>
      <c r="G396" t="s">
        <v>10</v>
      </c>
    </row>
    <row r="397" spans="1:7" x14ac:dyDescent="0.25">
      <c r="A397" t="s">
        <v>255</v>
      </c>
      <c r="B397" s="2">
        <v>330</v>
      </c>
      <c r="C397" s="2">
        <v>81</v>
      </c>
      <c r="D397" s="1">
        <v>1</v>
      </c>
      <c r="E397" t="s">
        <v>12</v>
      </c>
      <c r="F397" t="s">
        <v>16</v>
      </c>
      <c r="G397" t="s">
        <v>19</v>
      </c>
    </row>
    <row r="398" spans="1:7" x14ac:dyDescent="0.25">
      <c r="A398" t="s">
        <v>62</v>
      </c>
      <c r="B398" s="2">
        <v>216</v>
      </c>
      <c r="C398" s="2">
        <v>-38</v>
      </c>
      <c r="D398" s="1">
        <v>6</v>
      </c>
      <c r="E398" t="s">
        <v>12</v>
      </c>
      <c r="F398" t="s">
        <v>131</v>
      </c>
      <c r="G398" t="s">
        <v>28</v>
      </c>
    </row>
    <row r="399" spans="1:7" x14ac:dyDescent="0.25">
      <c r="A399" t="s">
        <v>289</v>
      </c>
      <c r="B399" s="2">
        <v>224</v>
      </c>
      <c r="C399" s="2">
        <v>-143</v>
      </c>
      <c r="D399" s="1">
        <v>3</v>
      </c>
      <c r="E399" t="s">
        <v>12</v>
      </c>
      <c r="F399" t="s">
        <v>13</v>
      </c>
      <c r="G399" t="s">
        <v>10</v>
      </c>
    </row>
    <row r="400" spans="1:7" x14ac:dyDescent="0.25">
      <c r="A400" t="s">
        <v>290</v>
      </c>
      <c r="B400" s="2">
        <v>55</v>
      </c>
      <c r="C400" s="2">
        <v>-33</v>
      </c>
      <c r="D400" s="1">
        <v>2</v>
      </c>
      <c r="E400" t="s">
        <v>12</v>
      </c>
      <c r="F400" t="s">
        <v>13</v>
      </c>
      <c r="G400" t="s">
        <v>82</v>
      </c>
    </row>
    <row r="401" spans="1:7" x14ac:dyDescent="0.25">
      <c r="A401" t="s">
        <v>153</v>
      </c>
      <c r="B401" s="2">
        <v>49</v>
      </c>
      <c r="C401" s="2">
        <v>21</v>
      </c>
      <c r="D401" s="1">
        <v>1</v>
      </c>
      <c r="E401" t="s">
        <v>23</v>
      </c>
      <c r="F401" t="s">
        <v>57</v>
      </c>
      <c r="G401" t="s">
        <v>28</v>
      </c>
    </row>
    <row r="402" spans="1:7" x14ac:dyDescent="0.25">
      <c r="A402" t="s">
        <v>207</v>
      </c>
      <c r="B402" s="2">
        <v>224</v>
      </c>
      <c r="C402" s="2">
        <v>87</v>
      </c>
      <c r="D402" s="1">
        <v>3</v>
      </c>
      <c r="E402" t="s">
        <v>23</v>
      </c>
      <c r="F402" t="s">
        <v>24</v>
      </c>
      <c r="G402" t="s">
        <v>10</v>
      </c>
    </row>
    <row r="403" spans="1:7" x14ac:dyDescent="0.25">
      <c r="A403" t="s">
        <v>187</v>
      </c>
      <c r="B403" s="2">
        <v>223</v>
      </c>
      <c r="C403" s="2">
        <v>27</v>
      </c>
      <c r="D403" s="1">
        <v>2</v>
      </c>
      <c r="E403" t="s">
        <v>12</v>
      </c>
      <c r="F403" t="s">
        <v>16</v>
      </c>
      <c r="G403" t="s">
        <v>10</v>
      </c>
    </row>
    <row r="404" spans="1:7" x14ac:dyDescent="0.25">
      <c r="A404" t="s">
        <v>291</v>
      </c>
      <c r="B404" s="2">
        <v>324</v>
      </c>
      <c r="C404" s="2">
        <v>39</v>
      </c>
      <c r="D404" s="1">
        <v>8</v>
      </c>
      <c r="E404" t="s">
        <v>8</v>
      </c>
      <c r="F404" t="s">
        <v>73</v>
      </c>
      <c r="G404" t="s">
        <v>19</v>
      </c>
    </row>
    <row r="405" spans="1:7" x14ac:dyDescent="0.25">
      <c r="A405" t="s">
        <v>123</v>
      </c>
      <c r="B405" s="2">
        <v>56</v>
      </c>
      <c r="C405" s="2">
        <v>18</v>
      </c>
      <c r="D405" s="1">
        <v>2</v>
      </c>
      <c r="E405" t="s">
        <v>23</v>
      </c>
      <c r="F405" t="s">
        <v>30</v>
      </c>
      <c r="G405" t="s">
        <v>82</v>
      </c>
    </row>
    <row r="406" spans="1:7" x14ac:dyDescent="0.25">
      <c r="A406" t="s">
        <v>292</v>
      </c>
      <c r="B406" s="2">
        <v>223</v>
      </c>
      <c r="C406" s="2">
        <v>62</v>
      </c>
      <c r="D406" s="1">
        <v>7</v>
      </c>
      <c r="E406" t="s">
        <v>23</v>
      </c>
      <c r="F406" t="s">
        <v>142</v>
      </c>
      <c r="G406" t="s">
        <v>10</v>
      </c>
    </row>
    <row r="407" spans="1:7" x14ac:dyDescent="0.25">
      <c r="A407" t="s">
        <v>269</v>
      </c>
      <c r="B407" s="2">
        <v>10</v>
      </c>
      <c r="C407" s="2">
        <v>2</v>
      </c>
      <c r="D407" s="1">
        <v>2</v>
      </c>
      <c r="E407" t="s">
        <v>23</v>
      </c>
      <c r="F407" t="s">
        <v>43</v>
      </c>
      <c r="G407" t="s">
        <v>10</v>
      </c>
    </row>
    <row r="408" spans="1:7" x14ac:dyDescent="0.25">
      <c r="A408" t="s">
        <v>293</v>
      </c>
      <c r="B408" s="2">
        <v>57</v>
      </c>
      <c r="C408" s="2">
        <v>6</v>
      </c>
      <c r="D408" s="1">
        <v>5</v>
      </c>
      <c r="E408" t="s">
        <v>23</v>
      </c>
      <c r="F408" t="s">
        <v>63</v>
      </c>
      <c r="G408" t="s">
        <v>82</v>
      </c>
    </row>
    <row r="409" spans="1:7" x14ac:dyDescent="0.25">
      <c r="A409" t="s">
        <v>103</v>
      </c>
      <c r="B409" s="2">
        <v>322</v>
      </c>
      <c r="C409" s="2">
        <v>-113</v>
      </c>
      <c r="D409" s="1">
        <v>4</v>
      </c>
      <c r="E409" t="s">
        <v>23</v>
      </c>
      <c r="F409" t="s">
        <v>26</v>
      </c>
      <c r="G409" t="s">
        <v>19</v>
      </c>
    </row>
    <row r="410" spans="1:7" x14ac:dyDescent="0.25">
      <c r="A410" t="s">
        <v>294</v>
      </c>
      <c r="B410" s="2">
        <v>219</v>
      </c>
      <c r="C410" s="2">
        <v>4</v>
      </c>
      <c r="D410" s="1">
        <v>2</v>
      </c>
      <c r="E410" t="s">
        <v>23</v>
      </c>
      <c r="F410" t="s">
        <v>26</v>
      </c>
      <c r="G410" t="s">
        <v>10</v>
      </c>
    </row>
    <row r="411" spans="1:7" x14ac:dyDescent="0.25">
      <c r="A411" t="s">
        <v>295</v>
      </c>
      <c r="B411" s="2">
        <v>103</v>
      </c>
      <c r="C411" s="2">
        <v>21</v>
      </c>
      <c r="D411" s="1">
        <v>7</v>
      </c>
      <c r="E411" t="s">
        <v>23</v>
      </c>
      <c r="F411" t="s">
        <v>57</v>
      </c>
      <c r="G411" t="s">
        <v>28</v>
      </c>
    </row>
    <row r="412" spans="1:7" x14ac:dyDescent="0.25">
      <c r="A412" t="s">
        <v>33</v>
      </c>
      <c r="B412" s="2">
        <v>47</v>
      </c>
      <c r="C412" s="2">
        <v>-27</v>
      </c>
      <c r="D412" s="1">
        <v>4</v>
      </c>
      <c r="E412" t="s">
        <v>23</v>
      </c>
      <c r="F412" t="s">
        <v>26</v>
      </c>
      <c r="G412" t="s">
        <v>10</v>
      </c>
    </row>
    <row r="413" spans="1:7" x14ac:dyDescent="0.25">
      <c r="A413" t="s">
        <v>187</v>
      </c>
      <c r="B413" s="2">
        <v>219</v>
      </c>
      <c r="C413" s="2">
        <v>0</v>
      </c>
      <c r="D413" s="1">
        <v>1</v>
      </c>
      <c r="E413" t="s">
        <v>23</v>
      </c>
      <c r="F413" t="s">
        <v>26</v>
      </c>
      <c r="G413" t="s">
        <v>10</v>
      </c>
    </row>
    <row r="414" spans="1:7" x14ac:dyDescent="0.25">
      <c r="A414" t="s">
        <v>240</v>
      </c>
      <c r="B414" s="2">
        <v>57</v>
      </c>
      <c r="C414" s="2">
        <v>-48</v>
      </c>
      <c r="D414" s="1">
        <v>6</v>
      </c>
      <c r="E414" t="s">
        <v>23</v>
      </c>
      <c r="F414" t="s">
        <v>63</v>
      </c>
      <c r="G414" t="s">
        <v>82</v>
      </c>
    </row>
    <row r="415" spans="1:7" x14ac:dyDescent="0.25">
      <c r="A415" t="s">
        <v>296</v>
      </c>
      <c r="B415" s="2">
        <v>319</v>
      </c>
      <c r="C415" s="2">
        <v>102</v>
      </c>
      <c r="D415" s="1">
        <v>6</v>
      </c>
      <c r="E415" t="s">
        <v>8</v>
      </c>
      <c r="F415" t="s">
        <v>73</v>
      </c>
      <c r="G415" t="s">
        <v>19</v>
      </c>
    </row>
    <row r="416" spans="1:7" x14ac:dyDescent="0.25">
      <c r="A416" t="s">
        <v>60</v>
      </c>
      <c r="B416" s="2">
        <v>315</v>
      </c>
      <c r="C416" s="2">
        <v>-8</v>
      </c>
      <c r="D416" s="1">
        <v>3</v>
      </c>
      <c r="E416" t="s">
        <v>12</v>
      </c>
      <c r="F416" t="s">
        <v>13</v>
      </c>
      <c r="G416" t="s">
        <v>19</v>
      </c>
    </row>
    <row r="417" spans="1:7" x14ac:dyDescent="0.25">
      <c r="A417" t="s">
        <v>216</v>
      </c>
      <c r="B417" s="2">
        <v>314</v>
      </c>
      <c r="C417" s="2">
        <v>-41</v>
      </c>
      <c r="D417" s="1">
        <v>3</v>
      </c>
      <c r="E417" t="s">
        <v>8</v>
      </c>
      <c r="F417" t="s">
        <v>9</v>
      </c>
      <c r="G417" t="s">
        <v>19</v>
      </c>
    </row>
    <row r="418" spans="1:7" x14ac:dyDescent="0.25">
      <c r="A418" t="s">
        <v>194</v>
      </c>
      <c r="B418" s="2">
        <v>311</v>
      </c>
      <c r="C418" s="2">
        <v>40</v>
      </c>
      <c r="D418" s="1">
        <v>1</v>
      </c>
      <c r="E418" t="s">
        <v>8</v>
      </c>
      <c r="F418" t="s">
        <v>9</v>
      </c>
      <c r="G418" t="s">
        <v>14</v>
      </c>
    </row>
    <row r="419" spans="1:7" x14ac:dyDescent="0.25">
      <c r="A419" t="s">
        <v>79</v>
      </c>
      <c r="B419" s="2">
        <v>307</v>
      </c>
      <c r="C419" s="2">
        <v>74</v>
      </c>
      <c r="D419" s="1">
        <v>3</v>
      </c>
      <c r="E419" t="s">
        <v>8</v>
      </c>
      <c r="F419" t="s">
        <v>73</v>
      </c>
      <c r="G419" t="s">
        <v>14</v>
      </c>
    </row>
    <row r="420" spans="1:7" x14ac:dyDescent="0.25">
      <c r="A420" t="s">
        <v>187</v>
      </c>
      <c r="B420" s="2">
        <v>294</v>
      </c>
      <c r="C420" s="2">
        <v>109</v>
      </c>
      <c r="D420" s="1">
        <v>7</v>
      </c>
      <c r="E420" t="s">
        <v>8</v>
      </c>
      <c r="F420" t="s">
        <v>73</v>
      </c>
      <c r="G420" t="s">
        <v>14</v>
      </c>
    </row>
    <row r="421" spans="1:7" x14ac:dyDescent="0.25">
      <c r="A421" t="s">
        <v>271</v>
      </c>
      <c r="B421" s="2">
        <v>216</v>
      </c>
      <c r="C421" s="2">
        <v>-83</v>
      </c>
      <c r="D421" s="1">
        <v>3</v>
      </c>
      <c r="E421" t="s">
        <v>8</v>
      </c>
      <c r="F421" t="s">
        <v>9</v>
      </c>
      <c r="G421" t="s">
        <v>10</v>
      </c>
    </row>
    <row r="422" spans="1:7" x14ac:dyDescent="0.25">
      <c r="A422" t="s">
        <v>290</v>
      </c>
      <c r="B422" s="2">
        <v>58</v>
      </c>
      <c r="C422" s="2">
        <v>-42</v>
      </c>
      <c r="D422" s="1">
        <v>2</v>
      </c>
      <c r="E422" t="s">
        <v>12</v>
      </c>
      <c r="F422" t="s">
        <v>13</v>
      </c>
      <c r="G422" t="s">
        <v>82</v>
      </c>
    </row>
    <row r="423" spans="1:7" x14ac:dyDescent="0.25">
      <c r="A423" t="s">
        <v>72</v>
      </c>
      <c r="B423" s="2">
        <v>48</v>
      </c>
      <c r="C423" s="2">
        <v>20</v>
      </c>
      <c r="D423" s="1">
        <v>4</v>
      </c>
      <c r="E423" t="s">
        <v>23</v>
      </c>
      <c r="F423" t="s">
        <v>57</v>
      </c>
      <c r="G423" t="s">
        <v>28</v>
      </c>
    </row>
    <row r="424" spans="1:7" x14ac:dyDescent="0.25">
      <c r="A424" t="s">
        <v>15</v>
      </c>
      <c r="B424" s="2">
        <v>54</v>
      </c>
      <c r="C424" s="2">
        <v>14</v>
      </c>
      <c r="D424" s="1">
        <v>3</v>
      </c>
      <c r="E424" t="s">
        <v>23</v>
      </c>
      <c r="F424" t="s">
        <v>81</v>
      </c>
      <c r="G424" t="s">
        <v>28</v>
      </c>
    </row>
    <row r="425" spans="1:7" x14ac:dyDescent="0.25">
      <c r="A425" t="s">
        <v>88</v>
      </c>
      <c r="B425" s="2">
        <v>216</v>
      </c>
      <c r="C425" s="2">
        <v>50</v>
      </c>
      <c r="D425" s="1">
        <v>4</v>
      </c>
      <c r="E425" t="s">
        <v>23</v>
      </c>
      <c r="F425" t="s">
        <v>57</v>
      </c>
      <c r="G425" t="s">
        <v>10</v>
      </c>
    </row>
    <row r="426" spans="1:7" x14ac:dyDescent="0.25">
      <c r="A426" t="s">
        <v>292</v>
      </c>
      <c r="B426" s="2">
        <v>215</v>
      </c>
      <c r="C426" s="2">
        <v>-30</v>
      </c>
      <c r="D426" s="1">
        <v>2</v>
      </c>
      <c r="E426" t="s">
        <v>23</v>
      </c>
      <c r="F426" t="s">
        <v>26</v>
      </c>
      <c r="G426" t="s">
        <v>10</v>
      </c>
    </row>
    <row r="427" spans="1:7" x14ac:dyDescent="0.25">
      <c r="A427" t="s">
        <v>297</v>
      </c>
      <c r="B427" s="2">
        <v>43</v>
      </c>
      <c r="C427" s="2">
        <v>8</v>
      </c>
      <c r="D427" s="1">
        <v>3</v>
      </c>
      <c r="E427" t="s">
        <v>23</v>
      </c>
      <c r="F427" t="s">
        <v>63</v>
      </c>
      <c r="G427" t="s">
        <v>10</v>
      </c>
    </row>
    <row r="428" spans="1:7" x14ac:dyDescent="0.25">
      <c r="A428" t="s">
        <v>46</v>
      </c>
      <c r="B428" s="2">
        <v>136</v>
      </c>
      <c r="C428" s="2">
        <v>-33</v>
      </c>
      <c r="D428" s="1">
        <v>5</v>
      </c>
      <c r="E428" t="s">
        <v>23</v>
      </c>
      <c r="F428" t="s">
        <v>26</v>
      </c>
      <c r="G428" t="s">
        <v>10</v>
      </c>
    </row>
    <row r="429" spans="1:7" x14ac:dyDescent="0.25">
      <c r="A429" t="s">
        <v>298</v>
      </c>
      <c r="B429" s="2">
        <v>59</v>
      </c>
      <c r="C429" s="2">
        <v>-30</v>
      </c>
      <c r="D429" s="1">
        <v>3</v>
      </c>
      <c r="E429" t="s">
        <v>23</v>
      </c>
      <c r="F429" t="s">
        <v>63</v>
      </c>
      <c r="G429" t="s">
        <v>82</v>
      </c>
    </row>
    <row r="430" spans="1:7" x14ac:dyDescent="0.25">
      <c r="A430" t="s">
        <v>11</v>
      </c>
      <c r="B430" s="2">
        <v>213</v>
      </c>
      <c r="C430" s="2">
        <v>4</v>
      </c>
      <c r="D430" s="1">
        <v>14</v>
      </c>
      <c r="E430" t="s">
        <v>23</v>
      </c>
      <c r="F430" t="s">
        <v>142</v>
      </c>
      <c r="G430" t="s">
        <v>10</v>
      </c>
    </row>
    <row r="431" spans="1:7" x14ac:dyDescent="0.25">
      <c r="A431" t="s">
        <v>285</v>
      </c>
      <c r="B431" s="2">
        <v>59</v>
      </c>
      <c r="C431" s="2">
        <v>21</v>
      </c>
      <c r="D431" s="1">
        <v>2</v>
      </c>
      <c r="E431" t="s">
        <v>23</v>
      </c>
      <c r="F431" t="s">
        <v>57</v>
      </c>
      <c r="G431" t="s">
        <v>82</v>
      </c>
    </row>
    <row r="432" spans="1:7" x14ac:dyDescent="0.25">
      <c r="A432" t="s">
        <v>299</v>
      </c>
      <c r="B432" s="2">
        <v>55</v>
      </c>
      <c r="C432" s="2">
        <v>3</v>
      </c>
      <c r="D432" s="1">
        <v>3</v>
      </c>
      <c r="E432" t="s">
        <v>23</v>
      </c>
      <c r="F432" t="s">
        <v>81</v>
      </c>
      <c r="G432" t="s">
        <v>10</v>
      </c>
    </row>
    <row r="433" spans="1:7" x14ac:dyDescent="0.25">
      <c r="A433" t="s">
        <v>15</v>
      </c>
      <c r="B433" s="2">
        <v>294</v>
      </c>
      <c r="C433" s="2">
        <v>62</v>
      </c>
      <c r="D433" s="1">
        <v>9</v>
      </c>
      <c r="E433" t="s">
        <v>23</v>
      </c>
      <c r="F433" t="s">
        <v>81</v>
      </c>
      <c r="G433" t="s">
        <v>14</v>
      </c>
    </row>
    <row r="434" spans="1:7" x14ac:dyDescent="0.25">
      <c r="A434" t="s">
        <v>89</v>
      </c>
      <c r="B434" s="2">
        <v>210</v>
      </c>
      <c r="C434" s="2">
        <v>62</v>
      </c>
      <c r="D434" s="1">
        <v>2</v>
      </c>
      <c r="E434" t="s">
        <v>8</v>
      </c>
      <c r="F434" t="s">
        <v>21</v>
      </c>
      <c r="G434" t="s">
        <v>10</v>
      </c>
    </row>
    <row r="435" spans="1:7" x14ac:dyDescent="0.25">
      <c r="A435" t="s">
        <v>238</v>
      </c>
      <c r="B435" s="2">
        <v>59</v>
      </c>
      <c r="C435" s="2">
        <v>24</v>
      </c>
      <c r="D435" s="1">
        <v>6</v>
      </c>
      <c r="E435" t="s">
        <v>23</v>
      </c>
      <c r="F435" t="s">
        <v>32</v>
      </c>
      <c r="G435" t="s">
        <v>82</v>
      </c>
    </row>
    <row r="436" spans="1:7" x14ac:dyDescent="0.25">
      <c r="A436" t="s">
        <v>38</v>
      </c>
      <c r="B436" s="2">
        <v>396</v>
      </c>
      <c r="C436" s="2">
        <v>-31</v>
      </c>
      <c r="D436" s="1">
        <v>9</v>
      </c>
      <c r="E436" t="s">
        <v>23</v>
      </c>
      <c r="F436" t="s">
        <v>26</v>
      </c>
      <c r="G436" t="s">
        <v>10</v>
      </c>
    </row>
    <row r="437" spans="1:7" x14ac:dyDescent="0.25">
      <c r="A437" t="s">
        <v>300</v>
      </c>
      <c r="B437" s="2">
        <v>284</v>
      </c>
      <c r="C437" s="2">
        <v>45</v>
      </c>
      <c r="D437" s="1">
        <v>2</v>
      </c>
      <c r="E437" t="s">
        <v>12</v>
      </c>
      <c r="F437" t="s">
        <v>16</v>
      </c>
      <c r="G437" t="s">
        <v>14</v>
      </c>
    </row>
    <row r="438" spans="1:7" x14ac:dyDescent="0.25">
      <c r="A438" t="s">
        <v>301</v>
      </c>
      <c r="B438" s="2">
        <v>276</v>
      </c>
      <c r="C438" s="2">
        <v>52</v>
      </c>
      <c r="D438" s="1">
        <v>5</v>
      </c>
      <c r="E438" t="s">
        <v>23</v>
      </c>
      <c r="F438" t="s">
        <v>26</v>
      </c>
      <c r="G438" t="s">
        <v>14</v>
      </c>
    </row>
    <row r="439" spans="1:7" x14ac:dyDescent="0.25">
      <c r="A439" t="s">
        <v>259</v>
      </c>
      <c r="B439" s="2">
        <v>23</v>
      </c>
      <c r="C439" s="2">
        <v>2</v>
      </c>
      <c r="D439" s="1">
        <v>2</v>
      </c>
      <c r="E439" t="s">
        <v>23</v>
      </c>
      <c r="F439" t="s">
        <v>43</v>
      </c>
      <c r="G439" t="s">
        <v>28</v>
      </c>
    </row>
    <row r="440" spans="1:7" x14ac:dyDescent="0.25">
      <c r="A440" t="s">
        <v>302</v>
      </c>
      <c r="B440" s="2">
        <v>209</v>
      </c>
      <c r="C440" s="2">
        <v>-63</v>
      </c>
      <c r="D440" s="1">
        <v>4</v>
      </c>
      <c r="E440" t="s">
        <v>8</v>
      </c>
      <c r="F440" t="s">
        <v>9</v>
      </c>
      <c r="G440" t="s">
        <v>10</v>
      </c>
    </row>
    <row r="441" spans="1:7" x14ac:dyDescent="0.25">
      <c r="A441" t="s">
        <v>303</v>
      </c>
      <c r="B441" s="2">
        <v>50</v>
      </c>
      <c r="C441" s="2">
        <v>-28</v>
      </c>
      <c r="D441" s="1">
        <v>5</v>
      </c>
      <c r="E441" t="s">
        <v>12</v>
      </c>
      <c r="F441" t="s">
        <v>131</v>
      </c>
      <c r="G441" t="s">
        <v>10</v>
      </c>
    </row>
    <row r="442" spans="1:7" x14ac:dyDescent="0.25">
      <c r="A442" t="s">
        <v>304</v>
      </c>
      <c r="B442" s="2">
        <v>57</v>
      </c>
      <c r="C442" s="2">
        <v>27</v>
      </c>
      <c r="D442" s="1">
        <v>2</v>
      </c>
      <c r="E442" t="s">
        <v>23</v>
      </c>
      <c r="F442" t="s">
        <v>142</v>
      </c>
      <c r="G442" t="s">
        <v>10</v>
      </c>
    </row>
    <row r="443" spans="1:7" x14ac:dyDescent="0.25">
      <c r="A443" t="s">
        <v>305</v>
      </c>
      <c r="B443" s="2">
        <v>276</v>
      </c>
      <c r="C443" s="2">
        <v>-21</v>
      </c>
      <c r="D443" s="1">
        <v>2</v>
      </c>
      <c r="E443" t="s">
        <v>8</v>
      </c>
      <c r="F443" t="s">
        <v>21</v>
      </c>
      <c r="G443" t="s">
        <v>14</v>
      </c>
    </row>
    <row r="444" spans="1:7" x14ac:dyDescent="0.25">
      <c r="A444" t="s">
        <v>306</v>
      </c>
      <c r="B444" s="2">
        <v>268</v>
      </c>
      <c r="C444" s="2">
        <v>6</v>
      </c>
      <c r="D444" s="1">
        <v>2</v>
      </c>
      <c r="E444" t="s">
        <v>12</v>
      </c>
      <c r="F444" t="s">
        <v>16</v>
      </c>
      <c r="G444" t="s">
        <v>28</v>
      </c>
    </row>
    <row r="445" spans="1:7" x14ac:dyDescent="0.25">
      <c r="A445" t="s">
        <v>135</v>
      </c>
      <c r="B445" s="2">
        <v>269</v>
      </c>
      <c r="C445" s="2">
        <v>111</v>
      </c>
      <c r="D445" s="1">
        <v>3</v>
      </c>
      <c r="E445" t="s">
        <v>23</v>
      </c>
      <c r="F445" t="s">
        <v>24</v>
      </c>
      <c r="G445" t="s">
        <v>14</v>
      </c>
    </row>
    <row r="446" spans="1:7" x14ac:dyDescent="0.25">
      <c r="A446" t="s">
        <v>105</v>
      </c>
      <c r="B446" s="2">
        <v>209</v>
      </c>
      <c r="C446" s="2">
        <v>2</v>
      </c>
      <c r="D446" s="1">
        <v>1</v>
      </c>
      <c r="E446" t="s">
        <v>23</v>
      </c>
      <c r="F446" t="s">
        <v>26</v>
      </c>
      <c r="G446" t="s">
        <v>10</v>
      </c>
    </row>
    <row r="447" spans="1:7" x14ac:dyDescent="0.25">
      <c r="A447" t="s">
        <v>307</v>
      </c>
      <c r="B447" s="2">
        <v>60</v>
      </c>
      <c r="C447" s="2">
        <v>-12</v>
      </c>
      <c r="D447" s="1">
        <v>4</v>
      </c>
      <c r="E447" t="s">
        <v>23</v>
      </c>
      <c r="F447" t="s">
        <v>30</v>
      </c>
      <c r="G447" t="s">
        <v>82</v>
      </c>
    </row>
    <row r="448" spans="1:7" x14ac:dyDescent="0.25">
      <c r="A448" t="s">
        <v>205</v>
      </c>
      <c r="B448" s="2">
        <v>269</v>
      </c>
      <c r="C448" s="2">
        <v>-86</v>
      </c>
      <c r="D448" s="1">
        <v>2</v>
      </c>
      <c r="E448" t="s">
        <v>8</v>
      </c>
      <c r="F448" t="s">
        <v>9</v>
      </c>
      <c r="G448" t="s">
        <v>14</v>
      </c>
    </row>
    <row r="449" spans="1:7" x14ac:dyDescent="0.25">
      <c r="A449" t="s">
        <v>141</v>
      </c>
      <c r="B449" s="2">
        <v>208</v>
      </c>
      <c r="C449" s="2">
        <v>-25</v>
      </c>
      <c r="D449" s="1">
        <v>2</v>
      </c>
      <c r="E449" t="s">
        <v>23</v>
      </c>
      <c r="F449" t="s">
        <v>26</v>
      </c>
      <c r="G449" t="s">
        <v>10</v>
      </c>
    </row>
    <row r="450" spans="1:7" x14ac:dyDescent="0.25">
      <c r="A450" t="s">
        <v>199</v>
      </c>
      <c r="B450" s="2">
        <v>27</v>
      </c>
      <c r="C450" s="2">
        <v>2</v>
      </c>
      <c r="D450" s="1">
        <v>2</v>
      </c>
      <c r="E450" t="s">
        <v>23</v>
      </c>
      <c r="F450" t="s">
        <v>63</v>
      </c>
      <c r="G450" t="s">
        <v>28</v>
      </c>
    </row>
    <row r="451" spans="1:7" x14ac:dyDescent="0.25">
      <c r="A451" t="s">
        <v>308</v>
      </c>
      <c r="B451" s="2">
        <v>206</v>
      </c>
      <c r="C451" s="2">
        <v>-206</v>
      </c>
      <c r="D451" s="1">
        <v>3</v>
      </c>
      <c r="E451" t="s">
        <v>23</v>
      </c>
      <c r="F451" t="s">
        <v>26</v>
      </c>
      <c r="G451" t="s">
        <v>10</v>
      </c>
    </row>
    <row r="452" spans="1:7" x14ac:dyDescent="0.25">
      <c r="A452" t="s">
        <v>309</v>
      </c>
      <c r="B452" s="2">
        <v>61</v>
      </c>
      <c r="C452" s="2">
        <v>8</v>
      </c>
      <c r="D452" s="1">
        <v>4</v>
      </c>
      <c r="E452" t="s">
        <v>23</v>
      </c>
      <c r="F452" t="s">
        <v>30</v>
      </c>
      <c r="G452" t="s">
        <v>82</v>
      </c>
    </row>
    <row r="453" spans="1:7" x14ac:dyDescent="0.25">
      <c r="A453" t="s">
        <v>141</v>
      </c>
      <c r="B453" s="2">
        <v>212</v>
      </c>
      <c r="C453" s="2">
        <v>-24</v>
      </c>
      <c r="D453" s="1">
        <v>2</v>
      </c>
      <c r="E453" t="s">
        <v>12</v>
      </c>
      <c r="F453" t="s">
        <v>13</v>
      </c>
      <c r="G453" t="s">
        <v>10</v>
      </c>
    </row>
    <row r="454" spans="1:7" x14ac:dyDescent="0.25">
      <c r="A454" t="s">
        <v>250</v>
      </c>
      <c r="B454" s="2">
        <v>262</v>
      </c>
      <c r="C454" s="2">
        <v>64</v>
      </c>
      <c r="D454" s="1">
        <v>6</v>
      </c>
      <c r="E454" t="s">
        <v>23</v>
      </c>
      <c r="F454" t="s">
        <v>26</v>
      </c>
      <c r="G454" t="s">
        <v>14</v>
      </c>
    </row>
    <row r="455" spans="1:7" x14ac:dyDescent="0.25">
      <c r="A455" t="s">
        <v>36</v>
      </c>
      <c r="B455" s="2">
        <v>204</v>
      </c>
      <c r="C455" s="2">
        <v>276</v>
      </c>
      <c r="D455" s="1">
        <v>3</v>
      </c>
      <c r="E455" t="s">
        <v>12</v>
      </c>
      <c r="F455" t="s">
        <v>16</v>
      </c>
      <c r="G455" t="s">
        <v>10</v>
      </c>
    </row>
    <row r="456" spans="1:7" x14ac:dyDescent="0.25">
      <c r="A456" t="s">
        <v>97</v>
      </c>
      <c r="B456" s="2">
        <v>59</v>
      </c>
      <c r="C456" s="2">
        <v>-46</v>
      </c>
      <c r="D456" s="1">
        <v>7</v>
      </c>
      <c r="E456" t="s">
        <v>23</v>
      </c>
      <c r="F456" t="s">
        <v>81</v>
      </c>
      <c r="G456" t="s">
        <v>28</v>
      </c>
    </row>
    <row r="457" spans="1:7" x14ac:dyDescent="0.25">
      <c r="A457" t="s">
        <v>141</v>
      </c>
      <c r="B457" s="2">
        <v>199</v>
      </c>
      <c r="C457" s="2">
        <v>-18</v>
      </c>
      <c r="D457" s="1">
        <v>2</v>
      </c>
      <c r="E457" t="s">
        <v>23</v>
      </c>
      <c r="F457" t="s">
        <v>26</v>
      </c>
      <c r="G457" t="s">
        <v>10</v>
      </c>
    </row>
    <row r="458" spans="1:7" x14ac:dyDescent="0.25">
      <c r="A458" t="s">
        <v>310</v>
      </c>
      <c r="B458" s="2">
        <v>59</v>
      </c>
      <c r="C458" s="2">
        <v>6</v>
      </c>
      <c r="D458" s="1">
        <v>1</v>
      </c>
      <c r="E458" t="s">
        <v>8</v>
      </c>
      <c r="F458" t="s">
        <v>73</v>
      </c>
      <c r="G458" t="s">
        <v>28</v>
      </c>
    </row>
    <row r="459" spans="1:7" x14ac:dyDescent="0.25">
      <c r="A459" t="s">
        <v>243</v>
      </c>
      <c r="B459" s="2">
        <v>45</v>
      </c>
      <c r="C459" s="2">
        <v>9</v>
      </c>
      <c r="D459" s="1">
        <v>3</v>
      </c>
      <c r="E459" t="s">
        <v>23</v>
      </c>
      <c r="F459" t="s">
        <v>63</v>
      </c>
      <c r="G459" t="s">
        <v>28</v>
      </c>
    </row>
    <row r="460" spans="1:7" x14ac:dyDescent="0.25">
      <c r="A460" t="s">
        <v>104</v>
      </c>
      <c r="B460" s="2">
        <v>211</v>
      </c>
      <c r="C460" s="2">
        <v>19</v>
      </c>
      <c r="D460" s="1">
        <v>8</v>
      </c>
      <c r="E460" t="s">
        <v>23</v>
      </c>
      <c r="F460" t="s">
        <v>57</v>
      </c>
      <c r="G460" t="s">
        <v>10</v>
      </c>
    </row>
    <row r="461" spans="1:7" x14ac:dyDescent="0.25">
      <c r="A461" t="s">
        <v>182</v>
      </c>
      <c r="B461" s="2">
        <v>65</v>
      </c>
      <c r="C461" s="2">
        <v>-16</v>
      </c>
      <c r="D461" s="1">
        <v>2</v>
      </c>
      <c r="E461" t="s">
        <v>8</v>
      </c>
      <c r="F461" t="s">
        <v>21</v>
      </c>
      <c r="G461" t="s">
        <v>82</v>
      </c>
    </row>
    <row r="462" spans="1:7" x14ac:dyDescent="0.25">
      <c r="A462" t="s">
        <v>62</v>
      </c>
      <c r="B462" s="2">
        <v>25</v>
      </c>
      <c r="C462" s="2">
        <v>0</v>
      </c>
      <c r="D462" s="1">
        <v>4</v>
      </c>
      <c r="E462" t="s">
        <v>23</v>
      </c>
      <c r="F462" t="s">
        <v>43</v>
      </c>
      <c r="G462" t="s">
        <v>28</v>
      </c>
    </row>
    <row r="463" spans="1:7" x14ac:dyDescent="0.25">
      <c r="A463" t="s">
        <v>311</v>
      </c>
      <c r="B463" s="2">
        <v>196</v>
      </c>
      <c r="C463" s="2">
        <v>-7</v>
      </c>
      <c r="D463" s="1">
        <v>5</v>
      </c>
      <c r="E463" t="s">
        <v>8</v>
      </c>
      <c r="F463" t="s">
        <v>21</v>
      </c>
      <c r="G463" t="s">
        <v>10</v>
      </c>
    </row>
    <row r="464" spans="1:7" x14ac:dyDescent="0.25">
      <c r="A464" t="s">
        <v>46</v>
      </c>
      <c r="B464" s="2">
        <v>261</v>
      </c>
      <c r="C464" s="2">
        <v>13</v>
      </c>
      <c r="D464" s="1">
        <v>6</v>
      </c>
      <c r="E464" t="s">
        <v>23</v>
      </c>
      <c r="F464" t="s">
        <v>142</v>
      </c>
      <c r="G464" t="s">
        <v>19</v>
      </c>
    </row>
    <row r="465" spans="1:7" x14ac:dyDescent="0.25">
      <c r="A465" t="s">
        <v>117</v>
      </c>
      <c r="B465" s="2">
        <v>195</v>
      </c>
      <c r="C465" s="2">
        <v>-117</v>
      </c>
      <c r="D465" s="1">
        <v>5</v>
      </c>
      <c r="E465" t="s">
        <v>8</v>
      </c>
      <c r="F465" t="s">
        <v>21</v>
      </c>
      <c r="G465" t="s">
        <v>10</v>
      </c>
    </row>
    <row r="466" spans="1:7" x14ac:dyDescent="0.25">
      <c r="A466" t="s">
        <v>166</v>
      </c>
      <c r="B466" s="2">
        <v>192</v>
      </c>
      <c r="C466" s="2">
        <v>-146</v>
      </c>
      <c r="D466" s="1">
        <v>3</v>
      </c>
      <c r="E466" t="s">
        <v>23</v>
      </c>
      <c r="F466" t="s">
        <v>26</v>
      </c>
      <c r="G466" t="s">
        <v>10</v>
      </c>
    </row>
    <row r="467" spans="1:7" x14ac:dyDescent="0.25">
      <c r="A467" t="s">
        <v>312</v>
      </c>
      <c r="B467" s="2">
        <v>189</v>
      </c>
      <c r="C467" s="2">
        <v>87</v>
      </c>
      <c r="D467" s="1">
        <v>7</v>
      </c>
      <c r="E467" t="s">
        <v>23</v>
      </c>
      <c r="F467" t="s">
        <v>57</v>
      </c>
      <c r="G467" t="s">
        <v>10</v>
      </c>
    </row>
    <row r="468" spans="1:7" x14ac:dyDescent="0.25">
      <c r="A468" t="s">
        <v>157</v>
      </c>
      <c r="B468" s="2">
        <v>32</v>
      </c>
      <c r="C468" s="2">
        <v>2</v>
      </c>
      <c r="D468" s="1">
        <v>2</v>
      </c>
      <c r="E468" t="s">
        <v>23</v>
      </c>
      <c r="F468" t="s">
        <v>32</v>
      </c>
      <c r="G468" t="s">
        <v>28</v>
      </c>
    </row>
    <row r="469" spans="1:7" x14ac:dyDescent="0.25">
      <c r="A469" t="s">
        <v>69</v>
      </c>
      <c r="B469" s="2">
        <v>188</v>
      </c>
      <c r="C469" s="2">
        <v>13</v>
      </c>
      <c r="D469" s="1">
        <v>7</v>
      </c>
      <c r="E469" t="s">
        <v>23</v>
      </c>
      <c r="F469" t="s">
        <v>142</v>
      </c>
      <c r="G469" t="s">
        <v>10</v>
      </c>
    </row>
    <row r="470" spans="1:7" x14ac:dyDescent="0.25">
      <c r="A470" t="s">
        <v>313</v>
      </c>
      <c r="B470" s="2">
        <v>73</v>
      </c>
      <c r="C470" s="2">
        <v>-25</v>
      </c>
      <c r="D470" s="1">
        <v>3</v>
      </c>
      <c r="E470" t="s">
        <v>23</v>
      </c>
      <c r="F470" t="s">
        <v>26</v>
      </c>
      <c r="G470" t="s">
        <v>10</v>
      </c>
    </row>
    <row r="471" spans="1:7" x14ac:dyDescent="0.25">
      <c r="A471" t="s">
        <v>44</v>
      </c>
      <c r="B471" s="2">
        <v>259</v>
      </c>
      <c r="C471" s="2">
        <v>47</v>
      </c>
      <c r="D471" s="1">
        <v>5</v>
      </c>
      <c r="E471" t="s">
        <v>23</v>
      </c>
      <c r="F471" t="s">
        <v>30</v>
      </c>
      <c r="G471" t="s">
        <v>19</v>
      </c>
    </row>
    <row r="472" spans="1:7" x14ac:dyDescent="0.25">
      <c r="A472" t="s">
        <v>314</v>
      </c>
      <c r="B472" s="2">
        <v>187</v>
      </c>
      <c r="C472" s="2">
        <v>-15</v>
      </c>
      <c r="D472" s="1">
        <v>3</v>
      </c>
      <c r="E472" t="s">
        <v>23</v>
      </c>
      <c r="F472" t="s">
        <v>24</v>
      </c>
      <c r="G472" t="s">
        <v>10</v>
      </c>
    </row>
    <row r="473" spans="1:7" x14ac:dyDescent="0.25">
      <c r="A473" t="s">
        <v>41</v>
      </c>
      <c r="B473" s="2">
        <v>26</v>
      </c>
      <c r="C473" s="2">
        <v>11</v>
      </c>
      <c r="D473" s="1">
        <v>2</v>
      </c>
      <c r="E473" t="s">
        <v>23</v>
      </c>
      <c r="F473" t="s">
        <v>30</v>
      </c>
      <c r="G473" t="s">
        <v>28</v>
      </c>
    </row>
    <row r="474" spans="1:7" x14ac:dyDescent="0.25">
      <c r="A474" t="s">
        <v>61</v>
      </c>
      <c r="B474" s="2">
        <v>185</v>
      </c>
      <c r="C474" s="2">
        <v>-26</v>
      </c>
      <c r="D474" s="1">
        <v>6</v>
      </c>
      <c r="E474" t="s">
        <v>12</v>
      </c>
      <c r="F474" t="s">
        <v>13</v>
      </c>
      <c r="G474" t="s">
        <v>10</v>
      </c>
    </row>
    <row r="475" spans="1:7" x14ac:dyDescent="0.25">
      <c r="A475" t="s">
        <v>315</v>
      </c>
      <c r="B475" s="2">
        <v>248</v>
      </c>
      <c r="C475" s="2">
        <v>8</v>
      </c>
      <c r="D475" s="1">
        <v>2</v>
      </c>
      <c r="E475" t="s">
        <v>23</v>
      </c>
      <c r="F475" t="s">
        <v>26</v>
      </c>
      <c r="G475" t="s">
        <v>19</v>
      </c>
    </row>
    <row r="476" spans="1:7" x14ac:dyDescent="0.25">
      <c r="A476" t="s">
        <v>316</v>
      </c>
      <c r="B476" s="2">
        <v>67</v>
      </c>
      <c r="C476" s="2">
        <v>9</v>
      </c>
      <c r="D476" s="1">
        <v>4</v>
      </c>
      <c r="E476" t="s">
        <v>23</v>
      </c>
      <c r="F476" t="s">
        <v>63</v>
      </c>
      <c r="G476" t="s">
        <v>82</v>
      </c>
    </row>
    <row r="477" spans="1:7" x14ac:dyDescent="0.25">
      <c r="A477" t="s">
        <v>289</v>
      </c>
      <c r="B477" s="2">
        <v>248</v>
      </c>
      <c r="C477" s="2">
        <v>-70</v>
      </c>
      <c r="D477" s="1">
        <v>3</v>
      </c>
      <c r="E477" t="s">
        <v>12</v>
      </c>
      <c r="F477" t="s">
        <v>13</v>
      </c>
      <c r="G477" t="s">
        <v>19</v>
      </c>
    </row>
    <row r="478" spans="1:7" x14ac:dyDescent="0.25">
      <c r="A478" t="s">
        <v>250</v>
      </c>
      <c r="B478" s="2">
        <v>246</v>
      </c>
      <c r="C478" s="2">
        <v>61</v>
      </c>
      <c r="D478" s="1">
        <v>2</v>
      </c>
      <c r="E478" t="s">
        <v>12</v>
      </c>
      <c r="F478" t="s">
        <v>16</v>
      </c>
      <c r="G478" t="s">
        <v>19</v>
      </c>
    </row>
    <row r="479" spans="1:7" x14ac:dyDescent="0.25">
      <c r="A479" t="s">
        <v>317</v>
      </c>
      <c r="B479" s="2">
        <v>179</v>
      </c>
      <c r="C479" s="2">
        <v>-25</v>
      </c>
      <c r="D479" s="1">
        <v>5</v>
      </c>
      <c r="E479" t="s">
        <v>23</v>
      </c>
      <c r="F479" t="s">
        <v>32</v>
      </c>
      <c r="G479" t="s">
        <v>10</v>
      </c>
    </row>
    <row r="480" spans="1:7" x14ac:dyDescent="0.25">
      <c r="A480" t="s">
        <v>318</v>
      </c>
      <c r="B480" s="2">
        <v>176</v>
      </c>
      <c r="C480" s="2">
        <v>-28</v>
      </c>
      <c r="D480" s="1">
        <v>5</v>
      </c>
      <c r="E480" t="s">
        <v>12</v>
      </c>
      <c r="F480" t="s">
        <v>131</v>
      </c>
      <c r="G480" t="s">
        <v>10</v>
      </c>
    </row>
    <row r="481" spans="1:7" x14ac:dyDescent="0.25">
      <c r="A481" t="s">
        <v>299</v>
      </c>
      <c r="B481" s="2">
        <v>176</v>
      </c>
      <c r="C481" s="2">
        <v>-13</v>
      </c>
      <c r="D481" s="1">
        <v>5</v>
      </c>
      <c r="E481" t="s">
        <v>12</v>
      </c>
      <c r="F481" t="s">
        <v>131</v>
      </c>
      <c r="G481" t="s">
        <v>10</v>
      </c>
    </row>
    <row r="482" spans="1:7" x14ac:dyDescent="0.25">
      <c r="A482" t="s">
        <v>78</v>
      </c>
      <c r="B482" s="2">
        <v>68</v>
      </c>
      <c r="C482" s="2">
        <v>-62</v>
      </c>
      <c r="D482" s="1">
        <v>2</v>
      </c>
      <c r="E482" t="s">
        <v>23</v>
      </c>
      <c r="F482" t="s">
        <v>24</v>
      </c>
      <c r="G482" t="s">
        <v>82</v>
      </c>
    </row>
    <row r="483" spans="1:7" x14ac:dyDescent="0.25">
      <c r="A483" t="s">
        <v>319</v>
      </c>
      <c r="B483" s="2">
        <v>176</v>
      </c>
      <c r="C483" s="2">
        <v>37</v>
      </c>
      <c r="D483" s="1">
        <v>6</v>
      </c>
      <c r="E483" t="s">
        <v>8</v>
      </c>
      <c r="F483" t="s">
        <v>73</v>
      </c>
      <c r="G483" t="s">
        <v>10</v>
      </c>
    </row>
    <row r="484" spans="1:7" x14ac:dyDescent="0.25">
      <c r="A484" t="s">
        <v>248</v>
      </c>
      <c r="B484" s="2">
        <v>88</v>
      </c>
      <c r="C484" s="2">
        <v>11</v>
      </c>
      <c r="D484" s="1">
        <v>7</v>
      </c>
      <c r="E484" t="s">
        <v>23</v>
      </c>
      <c r="F484" t="s">
        <v>30</v>
      </c>
      <c r="G484" t="s">
        <v>28</v>
      </c>
    </row>
    <row r="485" spans="1:7" x14ac:dyDescent="0.25">
      <c r="A485" t="s">
        <v>320</v>
      </c>
      <c r="B485" s="2">
        <v>68</v>
      </c>
      <c r="C485" s="2">
        <v>20</v>
      </c>
      <c r="D485" s="1">
        <v>5</v>
      </c>
      <c r="E485" t="s">
        <v>23</v>
      </c>
      <c r="F485" t="s">
        <v>30</v>
      </c>
      <c r="G485" t="s">
        <v>82</v>
      </c>
    </row>
    <row r="486" spans="1:7" x14ac:dyDescent="0.25">
      <c r="A486" t="s">
        <v>321</v>
      </c>
      <c r="B486" s="2">
        <v>231</v>
      </c>
      <c r="C486" s="2">
        <v>99</v>
      </c>
      <c r="D486" s="1">
        <v>2</v>
      </c>
      <c r="E486" t="s">
        <v>8</v>
      </c>
      <c r="F486" t="s">
        <v>9</v>
      </c>
      <c r="G486" t="s">
        <v>19</v>
      </c>
    </row>
    <row r="487" spans="1:7" x14ac:dyDescent="0.25">
      <c r="A487" t="s">
        <v>264</v>
      </c>
      <c r="B487" s="2">
        <v>62</v>
      </c>
      <c r="C487" s="2">
        <v>8</v>
      </c>
      <c r="D487" s="1">
        <v>2</v>
      </c>
      <c r="E487" t="s">
        <v>23</v>
      </c>
      <c r="F487" t="s">
        <v>81</v>
      </c>
      <c r="G487" t="s">
        <v>28</v>
      </c>
    </row>
    <row r="488" spans="1:7" x14ac:dyDescent="0.25">
      <c r="A488" t="s">
        <v>222</v>
      </c>
      <c r="B488" s="2">
        <v>175</v>
      </c>
      <c r="C488" s="2">
        <v>77</v>
      </c>
      <c r="D488" s="1">
        <v>3</v>
      </c>
      <c r="E488" t="s">
        <v>23</v>
      </c>
      <c r="F488" t="s">
        <v>26</v>
      </c>
      <c r="G488" t="s">
        <v>10</v>
      </c>
    </row>
    <row r="489" spans="1:7" x14ac:dyDescent="0.25">
      <c r="A489" t="s">
        <v>130</v>
      </c>
      <c r="B489" s="2">
        <v>71</v>
      </c>
      <c r="C489" s="2">
        <v>4</v>
      </c>
      <c r="D489" s="1">
        <v>5</v>
      </c>
      <c r="E489" t="s">
        <v>23</v>
      </c>
      <c r="F489" t="s">
        <v>63</v>
      </c>
      <c r="G489" t="s">
        <v>82</v>
      </c>
    </row>
    <row r="490" spans="1:7" x14ac:dyDescent="0.25">
      <c r="A490" t="s">
        <v>308</v>
      </c>
      <c r="B490" s="2">
        <v>174</v>
      </c>
      <c r="C490" s="2">
        <v>-70</v>
      </c>
      <c r="D490" s="1">
        <v>3</v>
      </c>
      <c r="E490" t="s">
        <v>8</v>
      </c>
      <c r="F490" t="s">
        <v>73</v>
      </c>
      <c r="G490" t="s">
        <v>10</v>
      </c>
    </row>
    <row r="491" spans="1:7" x14ac:dyDescent="0.25">
      <c r="A491" t="s">
        <v>133</v>
      </c>
      <c r="B491" s="2">
        <v>173</v>
      </c>
      <c r="C491" s="2">
        <v>69</v>
      </c>
      <c r="D491" s="1">
        <v>3</v>
      </c>
      <c r="E491" t="s">
        <v>12</v>
      </c>
      <c r="F491" t="s">
        <v>13</v>
      </c>
      <c r="G491" t="s">
        <v>10</v>
      </c>
    </row>
    <row r="492" spans="1:7" x14ac:dyDescent="0.25">
      <c r="A492" t="s">
        <v>115</v>
      </c>
      <c r="B492" s="2">
        <v>171</v>
      </c>
      <c r="C492" s="2">
        <v>2</v>
      </c>
      <c r="D492" s="1">
        <v>2</v>
      </c>
      <c r="E492" t="s">
        <v>8</v>
      </c>
      <c r="F492" t="s">
        <v>9</v>
      </c>
      <c r="G492" t="s">
        <v>10</v>
      </c>
    </row>
    <row r="493" spans="1:7" x14ac:dyDescent="0.25">
      <c r="A493" t="s">
        <v>166</v>
      </c>
      <c r="B493" s="2">
        <v>268</v>
      </c>
      <c r="C493" s="2">
        <v>-25</v>
      </c>
      <c r="D493" s="1">
        <v>3</v>
      </c>
      <c r="E493" t="s">
        <v>23</v>
      </c>
      <c r="F493" t="s">
        <v>26</v>
      </c>
      <c r="G493" t="s">
        <v>10</v>
      </c>
    </row>
    <row r="494" spans="1:7" x14ac:dyDescent="0.25">
      <c r="A494" t="s">
        <v>322</v>
      </c>
      <c r="B494" s="2">
        <v>71</v>
      </c>
      <c r="C494" s="2">
        <v>32</v>
      </c>
      <c r="D494" s="1">
        <v>3</v>
      </c>
      <c r="E494" t="s">
        <v>23</v>
      </c>
      <c r="F494" t="s">
        <v>26</v>
      </c>
      <c r="G494" t="s">
        <v>82</v>
      </c>
    </row>
    <row r="495" spans="1:7" x14ac:dyDescent="0.25">
      <c r="A495" t="s">
        <v>323</v>
      </c>
      <c r="B495" s="2">
        <v>29</v>
      </c>
      <c r="C495" s="2">
        <v>10</v>
      </c>
      <c r="D495" s="1">
        <v>4</v>
      </c>
      <c r="E495" t="s">
        <v>23</v>
      </c>
      <c r="F495" t="s">
        <v>30</v>
      </c>
      <c r="G495" t="s">
        <v>28</v>
      </c>
    </row>
    <row r="496" spans="1:7" x14ac:dyDescent="0.25">
      <c r="A496" t="s">
        <v>324</v>
      </c>
      <c r="B496" s="2">
        <v>65</v>
      </c>
      <c r="C496" s="2">
        <v>17</v>
      </c>
      <c r="D496" s="1">
        <v>2</v>
      </c>
      <c r="E496" t="s">
        <v>23</v>
      </c>
      <c r="F496" t="s">
        <v>81</v>
      </c>
      <c r="G496" t="s">
        <v>28</v>
      </c>
    </row>
    <row r="497" spans="1:7" x14ac:dyDescent="0.25">
      <c r="A497" t="s">
        <v>54</v>
      </c>
      <c r="B497" s="2">
        <v>72</v>
      </c>
      <c r="C497" s="2">
        <v>-46</v>
      </c>
      <c r="D497" s="1">
        <v>7</v>
      </c>
      <c r="E497" t="s">
        <v>23</v>
      </c>
      <c r="F497" t="s">
        <v>32</v>
      </c>
      <c r="G497" t="s">
        <v>82</v>
      </c>
    </row>
    <row r="498" spans="1:7" x14ac:dyDescent="0.25">
      <c r="A498" t="s">
        <v>325</v>
      </c>
      <c r="B498" s="2">
        <v>168</v>
      </c>
      <c r="C498" s="2">
        <v>-51</v>
      </c>
      <c r="D498" s="1">
        <v>2</v>
      </c>
      <c r="E498" t="s">
        <v>12</v>
      </c>
      <c r="F498" t="s">
        <v>16</v>
      </c>
      <c r="G498" t="s">
        <v>10</v>
      </c>
    </row>
    <row r="499" spans="1:7" x14ac:dyDescent="0.25">
      <c r="A499" t="s">
        <v>104</v>
      </c>
      <c r="B499" s="2">
        <v>165</v>
      </c>
      <c r="C499" s="2">
        <v>30</v>
      </c>
      <c r="D499" s="1">
        <v>3</v>
      </c>
      <c r="E499" t="s">
        <v>23</v>
      </c>
      <c r="F499" t="s">
        <v>57</v>
      </c>
      <c r="G499" t="s">
        <v>10</v>
      </c>
    </row>
    <row r="500" spans="1:7" x14ac:dyDescent="0.25">
      <c r="A500" t="s">
        <v>284</v>
      </c>
      <c r="B500" s="2">
        <v>74</v>
      </c>
      <c r="C500" s="2">
        <v>-59</v>
      </c>
      <c r="D500" s="1">
        <v>2</v>
      </c>
      <c r="E500" t="s">
        <v>8</v>
      </c>
      <c r="F500" t="s">
        <v>73</v>
      </c>
      <c r="G500" t="s">
        <v>82</v>
      </c>
    </row>
    <row r="501" spans="1:7" x14ac:dyDescent="0.25">
      <c r="A501" t="s">
        <v>184</v>
      </c>
      <c r="B501" s="2">
        <v>89</v>
      </c>
      <c r="C501" s="2">
        <v>17</v>
      </c>
      <c r="D501" s="1">
        <v>2</v>
      </c>
      <c r="E501" t="s">
        <v>23</v>
      </c>
      <c r="F501" t="s">
        <v>57</v>
      </c>
      <c r="G501" t="s">
        <v>28</v>
      </c>
    </row>
    <row r="502" spans="1:7" x14ac:dyDescent="0.25">
      <c r="A502" t="s">
        <v>239</v>
      </c>
      <c r="B502" s="2">
        <v>228</v>
      </c>
      <c r="C502" s="2">
        <v>63</v>
      </c>
      <c r="D502" s="1">
        <v>3</v>
      </c>
      <c r="E502" t="s">
        <v>8</v>
      </c>
      <c r="F502" t="s">
        <v>9</v>
      </c>
      <c r="G502" t="s">
        <v>19</v>
      </c>
    </row>
    <row r="503" spans="1:7" x14ac:dyDescent="0.25">
      <c r="A503" t="s">
        <v>94</v>
      </c>
      <c r="B503" s="2">
        <v>119</v>
      </c>
      <c r="C503" s="2">
        <v>-24</v>
      </c>
      <c r="D503" s="1">
        <v>4</v>
      </c>
      <c r="E503" t="s">
        <v>12</v>
      </c>
      <c r="F503" t="s">
        <v>131</v>
      </c>
      <c r="G503" t="s">
        <v>10</v>
      </c>
    </row>
    <row r="504" spans="1:7" x14ac:dyDescent="0.25">
      <c r="A504" t="s">
        <v>150</v>
      </c>
      <c r="B504" s="2">
        <v>75</v>
      </c>
      <c r="C504" s="2">
        <v>-25</v>
      </c>
      <c r="D504" s="1">
        <v>3</v>
      </c>
      <c r="E504" t="s">
        <v>23</v>
      </c>
      <c r="F504" t="s">
        <v>57</v>
      </c>
      <c r="G504" t="s">
        <v>28</v>
      </c>
    </row>
    <row r="505" spans="1:7" x14ac:dyDescent="0.25">
      <c r="A505" t="s">
        <v>132</v>
      </c>
      <c r="B505" s="2">
        <v>67</v>
      </c>
      <c r="C505" s="2">
        <v>20</v>
      </c>
      <c r="D505" s="1">
        <v>4</v>
      </c>
      <c r="E505" t="s">
        <v>23</v>
      </c>
      <c r="F505" t="s">
        <v>81</v>
      </c>
      <c r="G505" t="s">
        <v>28</v>
      </c>
    </row>
    <row r="506" spans="1:7" x14ac:dyDescent="0.25">
      <c r="A506" t="s">
        <v>119</v>
      </c>
      <c r="B506" s="2">
        <v>7</v>
      </c>
      <c r="C506" s="2">
        <v>0</v>
      </c>
      <c r="D506" s="1">
        <v>1</v>
      </c>
      <c r="E506" t="s">
        <v>23</v>
      </c>
      <c r="F506" t="s">
        <v>63</v>
      </c>
      <c r="G506" t="s">
        <v>10</v>
      </c>
    </row>
    <row r="507" spans="1:7" x14ac:dyDescent="0.25">
      <c r="A507" t="s">
        <v>180</v>
      </c>
      <c r="B507" s="2">
        <v>222</v>
      </c>
      <c r="C507" s="2">
        <v>35</v>
      </c>
      <c r="D507" s="1">
        <v>5</v>
      </c>
      <c r="E507" t="s">
        <v>23</v>
      </c>
      <c r="F507" t="s">
        <v>26</v>
      </c>
      <c r="G507" t="s">
        <v>19</v>
      </c>
    </row>
    <row r="508" spans="1:7" x14ac:dyDescent="0.25">
      <c r="A508" t="s">
        <v>236</v>
      </c>
      <c r="B508" s="2">
        <v>219</v>
      </c>
      <c r="C508" s="2">
        <v>-9</v>
      </c>
      <c r="D508" s="1">
        <v>4</v>
      </c>
      <c r="E508" t="s">
        <v>23</v>
      </c>
      <c r="F508" t="s">
        <v>26</v>
      </c>
      <c r="G508" t="s">
        <v>19</v>
      </c>
    </row>
    <row r="509" spans="1:7" x14ac:dyDescent="0.25">
      <c r="A509" t="s">
        <v>33</v>
      </c>
      <c r="B509" s="2">
        <v>42</v>
      </c>
      <c r="C509" s="2">
        <v>-23</v>
      </c>
      <c r="D509" s="1">
        <v>2</v>
      </c>
      <c r="E509" t="s">
        <v>12</v>
      </c>
      <c r="F509" t="s">
        <v>131</v>
      </c>
      <c r="G509" t="s">
        <v>28</v>
      </c>
    </row>
    <row r="510" spans="1:7" x14ac:dyDescent="0.25">
      <c r="A510" t="s">
        <v>96</v>
      </c>
      <c r="B510" s="2">
        <v>216</v>
      </c>
      <c r="C510" s="2">
        <v>-135</v>
      </c>
      <c r="D510" s="1">
        <v>3</v>
      </c>
      <c r="E510" t="s">
        <v>12</v>
      </c>
      <c r="F510" t="s">
        <v>13</v>
      </c>
      <c r="G510" t="s">
        <v>19</v>
      </c>
    </row>
    <row r="511" spans="1:7" x14ac:dyDescent="0.25">
      <c r="A511" t="s">
        <v>326</v>
      </c>
      <c r="B511" s="2">
        <v>47</v>
      </c>
      <c r="C511" s="2">
        <v>-21</v>
      </c>
      <c r="D511" s="1">
        <v>2</v>
      </c>
      <c r="E511" t="s">
        <v>8</v>
      </c>
      <c r="F511" t="s">
        <v>9</v>
      </c>
      <c r="G511" t="s">
        <v>10</v>
      </c>
    </row>
    <row r="512" spans="1:7" x14ac:dyDescent="0.25">
      <c r="A512" t="s">
        <v>265</v>
      </c>
      <c r="B512" s="2">
        <v>68</v>
      </c>
      <c r="C512" s="2">
        <v>-55</v>
      </c>
      <c r="D512" s="1">
        <v>5</v>
      </c>
      <c r="E512" t="s">
        <v>8</v>
      </c>
      <c r="F512" t="s">
        <v>73</v>
      </c>
      <c r="G512" t="s">
        <v>28</v>
      </c>
    </row>
    <row r="513" spans="1:7" x14ac:dyDescent="0.25">
      <c r="A513" t="s">
        <v>134</v>
      </c>
      <c r="B513" s="2">
        <v>74</v>
      </c>
      <c r="C513" s="2">
        <v>33</v>
      </c>
      <c r="D513" s="1">
        <v>2</v>
      </c>
      <c r="E513" t="s">
        <v>23</v>
      </c>
      <c r="F513" t="s">
        <v>142</v>
      </c>
      <c r="G513" t="s">
        <v>82</v>
      </c>
    </row>
    <row r="514" spans="1:7" x14ac:dyDescent="0.25">
      <c r="A514" t="s">
        <v>140</v>
      </c>
      <c r="B514" s="2">
        <v>165</v>
      </c>
      <c r="C514" s="2">
        <v>46</v>
      </c>
      <c r="D514" s="1">
        <v>3</v>
      </c>
      <c r="E514" t="s">
        <v>12</v>
      </c>
      <c r="F514" t="s">
        <v>131</v>
      </c>
      <c r="G514" t="s">
        <v>10</v>
      </c>
    </row>
    <row r="515" spans="1:7" x14ac:dyDescent="0.25">
      <c r="A515" t="s">
        <v>211</v>
      </c>
      <c r="B515" s="2">
        <v>101</v>
      </c>
      <c r="C515" s="2">
        <v>11</v>
      </c>
      <c r="D515" s="1">
        <v>2</v>
      </c>
      <c r="E515" t="s">
        <v>23</v>
      </c>
      <c r="F515" t="s">
        <v>30</v>
      </c>
      <c r="G515" t="s">
        <v>28</v>
      </c>
    </row>
    <row r="516" spans="1:7" x14ac:dyDescent="0.25">
      <c r="A516" t="s">
        <v>327</v>
      </c>
      <c r="B516" s="2">
        <v>162</v>
      </c>
      <c r="C516" s="2">
        <v>73</v>
      </c>
      <c r="D516" s="1">
        <v>2</v>
      </c>
      <c r="E516" t="s">
        <v>8</v>
      </c>
      <c r="F516" t="s">
        <v>9</v>
      </c>
      <c r="G516" t="s">
        <v>10</v>
      </c>
    </row>
    <row r="517" spans="1:7" x14ac:dyDescent="0.25">
      <c r="A517" t="s">
        <v>279</v>
      </c>
      <c r="B517" s="2">
        <v>20</v>
      </c>
      <c r="C517" s="2">
        <v>-22</v>
      </c>
      <c r="D517" s="1">
        <v>1</v>
      </c>
      <c r="E517" t="s">
        <v>12</v>
      </c>
      <c r="F517" t="s">
        <v>131</v>
      </c>
      <c r="G517" t="s">
        <v>28</v>
      </c>
    </row>
    <row r="518" spans="1:7" x14ac:dyDescent="0.25">
      <c r="A518" t="s">
        <v>167</v>
      </c>
      <c r="B518" s="2">
        <v>162</v>
      </c>
      <c r="C518" s="2">
        <v>55</v>
      </c>
      <c r="D518" s="1">
        <v>3</v>
      </c>
      <c r="E518" t="s">
        <v>23</v>
      </c>
      <c r="F518" t="s">
        <v>57</v>
      </c>
      <c r="G518" t="s">
        <v>10</v>
      </c>
    </row>
    <row r="519" spans="1:7" x14ac:dyDescent="0.25">
      <c r="A519" t="s">
        <v>205</v>
      </c>
      <c r="B519" s="2">
        <v>229</v>
      </c>
      <c r="C519" s="2">
        <v>-23</v>
      </c>
      <c r="D519" s="1">
        <v>2</v>
      </c>
      <c r="E519" t="s">
        <v>23</v>
      </c>
      <c r="F519" t="s">
        <v>26</v>
      </c>
      <c r="G519" t="s">
        <v>28</v>
      </c>
    </row>
    <row r="520" spans="1:7" x14ac:dyDescent="0.25">
      <c r="A520" t="s">
        <v>328</v>
      </c>
      <c r="B520" s="2">
        <v>27</v>
      </c>
      <c r="C520" s="2">
        <v>0</v>
      </c>
      <c r="D520" s="1">
        <v>2</v>
      </c>
      <c r="E520" t="s">
        <v>23</v>
      </c>
      <c r="F520" t="s">
        <v>63</v>
      </c>
      <c r="G520" t="s">
        <v>10</v>
      </c>
    </row>
    <row r="521" spans="1:7" x14ac:dyDescent="0.25">
      <c r="A521" t="s">
        <v>44</v>
      </c>
      <c r="B521" s="2">
        <v>685</v>
      </c>
      <c r="C521" s="2">
        <v>7</v>
      </c>
      <c r="D521" s="1">
        <v>7</v>
      </c>
      <c r="E521" t="s">
        <v>23</v>
      </c>
      <c r="F521" t="s">
        <v>24</v>
      </c>
      <c r="G521" t="s">
        <v>28</v>
      </c>
    </row>
    <row r="522" spans="1:7" x14ac:dyDescent="0.25">
      <c r="A522" t="s">
        <v>228</v>
      </c>
      <c r="B522" s="2">
        <v>75</v>
      </c>
      <c r="C522" s="2">
        <v>2</v>
      </c>
      <c r="D522" s="1">
        <v>5</v>
      </c>
      <c r="E522" t="s">
        <v>23</v>
      </c>
      <c r="F522" t="s">
        <v>63</v>
      </c>
      <c r="G522" t="s">
        <v>82</v>
      </c>
    </row>
    <row r="523" spans="1:7" x14ac:dyDescent="0.25">
      <c r="A523" t="s">
        <v>223</v>
      </c>
      <c r="B523" s="2">
        <v>161</v>
      </c>
      <c r="C523" s="2">
        <v>-229</v>
      </c>
      <c r="D523" s="1">
        <v>8</v>
      </c>
      <c r="E523" t="s">
        <v>12</v>
      </c>
      <c r="F523" t="s">
        <v>131</v>
      </c>
      <c r="G523" t="s">
        <v>10</v>
      </c>
    </row>
    <row r="524" spans="1:7" x14ac:dyDescent="0.25">
      <c r="A524" t="s">
        <v>301</v>
      </c>
      <c r="B524" s="2">
        <v>71</v>
      </c>
      <c r="C524" s="2">
        <v>19</v>
      </c>
      <c r="D524" s="1">
        <v>3</v>
      </c>
      <c r="E524" t="s">
        <v>23</v>
      </c>
      <c r="F524" t="s">
        <v>81</v>
      </c>
      <c r="G524" t="s">
        <v>10</v>
      </c>
    </row>
    <row r="525" spans="1:7" x14ac:dyDescent="0.25">
      <c r="A525" t="s">
        <v>135</v>
      </c>
      <c r="B525" s="2">
        <v>211</v>
      </c>
      <c r="C525" s="2">
        <v>-105</v>
      </c>
      <c r="D525" s="1">
        <v>2</v>
      </c>
      <c r="E525" t="s">
        <v>23</v>
      </c>
      <c r="F525" t="s">
        <v>26</v>
      </c>
      <c r="G525" t="s">
        <v>19</v>
      </c>
    </row>
    <row r="526" spans="1:7" x14ac:dyDescent="0.25">
      <c r="A526" t="s">
        <v>329</v>
      </c>
      <c r="B526" s="2">
        <v>79</v>
      </c>
      <c r="C526" s="2">
        <v>5</v>
      </c>
      <c r="D526" s="1">
        <v>6</v>
      </c>
      <c r="E526" t="s">
        <v>23</v>
      </c>
      <c r="F526" t="s">
        <v>30</v>
      </c>
      <c r="G526" t="s">
        <v>82</v>
      </c>
    </row>
    <row r="527" spans="1:7" x14ac:dyDescent="0.25">
      <c r="A527" t="s">
        <v>143</v>
      </c>
      <c r="B527" s="2">
        <v>32</v>
      </c>
      <c r="C527" s="2">
        <v>-22</v>
      </c>
      <c r="D527" s="1">
        <v>5</v>
      </c>
      <c r="E527" t="s">
        <v>23</v>
      </c>
      <c r="F527" t="s">
        <v>26</v>
      </c>
      <c r="G527" t="s">
        <v>28</v>
      </c>
    </row>
    <row r="528" spans="1:7" x14ac:dyDescent="0.25">
      <c r="A528" t="s">
        <v>330</v>
      </c>
      <c r="B528" s="2">
        <v>161</v>
      </c>
      <c r="C528" s="2">
        <v>40</v>
      </c>
      <c r="D528" s="1">
        <v>3</v>
      </c>
      <c r="E528" t="s">
        <v>23</v>
      </c>
      <c r="F528" t="s">
        <v>57</v>
      </c>
      <c r="G528" t="s">
        <v>10</v>
      </c>
    </row>
    <row r="529" spans="1:7" x14ac:dyDescent="0.25">
      <c r="A529" t="s">
        <v>119</v>
      </c>
      <c r="B529" s="2">
        <v>159</v>
      </c>
      <c r="C529" s="2">
        <v>4</v>
      </c>
      <c r="D529" s="1">
        <v>1</v>
      </c>
      <c r="E529" t="s">
        <v>23</v>
      </c>
      <c r="F529" t="s">
        <v>26</v>
      </c>
      <c r="G529" t="s">
        <v>10</v>
      </c>
    </row>
    <row r="530" spans="1:7" x14ac:dyDescent="0.25">
      <c r="A530" t="s">
        <v>145</v>
      </c>
      <c r="B530" s="2">
        <v>210</v>
      </c>
      <c r="C530" s="2">
        <v>-50</v>
      </c>
      <c r="D530" s="1">
        <v>4</v>
      </c>
      <c r="E530" t="s">
        <v>23</v>
      </c>
      <c r="F530" t="s">
        <v>30</v>
      </c>
      <c r="G530" t="s">
        <v>19</v>
      </c>
    </row>
    <row r="531" spans="1:7" x14ac:dyDescent="0.25">
      <c r="A531" t="s">
        <v>225</v>
      </c>
      <c r="B531" s="2">
        <v>79</v>
      </c>
      <c r="C531" s="2">
        <v>39</v>
      </c>
      <c r="D531" s="1">
        <v>2</v>
      </c>
      <c r="E531" t="s">
        <v>23</v>
      </c>
      <c r="F531" t="s">
        <v>142</v>
      </c>
      <c r="G531" t="s">
        <v>82</v>
      </c>
    </row>
    <row r="532" spans="1:7" x14ac:dyDescent="0.25">
      <c r="A532" t="s">
        <v>182</v>
      </c>
      <c r="B532" s="2">
        <v>207</v>
      </c>
      <c r="C532" s="2">
        <v>153</v>
      </c>
      <c r="D532" s="1">
        <v>3</v>
      </c>
      <c r="E532" t="s">
        <v>23</v>
      </c>
      <c r="F532" t="s">
        <v>26</v>
      </c>
      <c r="G532" t="s">
        <v>19</v>
      </c>
    </row>
    <row r="533" spans="1:7" x14ac:dyDescent="0.25">
      <c r="A533" t="s">
        <v>198</v>
      </c>
      <c r="B533" s="2">
        <v>36</v>
      </c>
      <c r="C533" s="2">
        <v>0</v>
      </c>
      <c r="D533" s="1">
        <v>4</v>
      </c>
      <c r="E533" t="s">
        <v>23</v>
      </c>
      <c r="F533" t="s">
        <v>32</v>
      </c>
      <c r="G533" t="s">
        <v>10</v>
      </c>
    </row>
    <row r="534" spans="1:7" x14ac:dyDescent="0.25">
      <c r="A534" t="s">
        <v>106</v>
      </c>
      <c r="B534" s="2">
        <v>206</v>
      </c>
      <c r="C534" s="2">
        <v>12</v>
      </c>
      <c r="D534" s="1">
        <v>1</v>
      </c>
      <c r="E534" t="s">
        <v>8</v>
      </c>
      <c r="F534" t="s">
        <v>18</v>
      </c>
      <c r="G534" t="s">
        <v>19</v>
      </c>
    </row>
    <row r="535" spans="1:7" x14ac:dyDescent="0.25">
      <c r="A535" t="s">
        <v>140</v>
      </c>
      <c r="B535" s="2">
        <v>46</v>
      </c>
      <c r="C535" s="2">
        <v>0</v>
      </c>
      <c r="D535" s="1">
        <v>4</v>
      </c>
      <c r="E535" t="s">
        <v>23</v>
      </c>
      <c r="F535" t="s">
        <v>63</v>
      </c>
      <c r="G535" t="s">
        <v>10</v>
      </c>
    </row>
    <row r="536" spans="1:7" x14ac:dyDescent="0.25">
      <c r="A536" t="s">
        <v>273</v>
      </c>
      <c r="B536" s="2">
        <v>156</v>
      </c>
      <c r="C536" s="2">
        <v>23</v>
      </c>
      <c r="D536" s="1">
        <v>3</v>
      </c>
      <c r="E536" t="s">
        <v>23</v>
      </c>
      <c r="F536" t="s">
        <v>57</v>
      </c>
      <c r="G536" t="s">
        <v>10</v>
      </c>
    </row>
    <row r="537" spans="1:7" x14ac:dyDescent="0.25">
      <c r="A537" t="s">
        <v>286</v>
      </c>
      <c r="B537" s="2">
        <v>154</v>
      </c>
      <c r="C537" s="2">
        <v>54</v>
      </c>
      <c r="D537" s="1">
        <v>3</v>
      </c>
      <c r="E537" t="s">
        <v>23</v>
      </c>
      <c r="F537" t="s">
        <v>30</v>
      </c>
      <c r="G537" t="s">
        <v>10</v>
      </c>
    </row>
    <row r="538" spans="1:7" x14ac:dyDescent="0.25">
      <c r="A538" t="s">
        <v>331</v>
      </c>
      <c r="B538" s="2">
        <v>36</v>
      </c>
      <c r="C538" s="2">
        <v>15</v>
      </c>
      <c r="D538" s="1">
        <v>3</v>
      </c>
      <c r="E538" t="s">
        <v>23</v>
      </c>
      <c r="F538" t="s">
        <v>57</v>
      </c>
      <c r="G538" t="s">
        <v>28</v>
      </c>
    </row>
    <row r="539" spans="1:7" x14ac:dyDescent="0.25">
      <c r="A539" t="s">
        <v>332</v>
      </c>
      <c r="B539" s="2">
        <v>206</v>
      </c>
      <c r="C539" s="2">
        <v>51</v>
      </c>
      <c r="D539" s="1">
        <v>4</v>
      </c>
      <c r="E539" t="s">
        <v>23</v>
      </c>
      <c r="F539" t="s">
        <v>30</v>
      </c>
      <c r="G539" t="s">
        <v>19</v>
      </c>
    </row>
    <row r="540" spans="1:7" x14ac:dyDescent="0.25">
      <c r="A540" t="s">
        <v>333</v>
      </c>
      <c r="B540" s="2">
        <v>200</v>
      </c>
      <c r="C540" s="2">
        <v>7</v>
      </c>
      <c r="D540" s="1">
        <v>4</v>
      </c>
      <c r="E540" t="s">
        <v>8</v>
      </c>
      <c r="F540" t="s">
        <v>9</v>
      </c>
      <c r="G540" t="s">
        <v>19</v>
      </c>
    </row>
    <row r="541" spans="1:7" x14ac:dyDescent="0.25">
      <c r="A541" t="s">
        <v>332</v>
      </c>
      <c r="B541" s="2">
        <v>199</v>
      </c>
      <c r="C541" s="2">
        <v>-1</v>
      </c>
      <c r="D541" s="1">
        <v>1</v>
      </c>
      <c r="E541" t="s">
        <v>23</v>
      </c>
      <c r="F541" t="s">
        <v>26</v>
      </c>
      <c r="G541" t="s">
        <v>19</v>
      </c>
    </row>
    <row r="542" spans="1:7" x14ac:dyDescent="0.25">
      <c r="A542" t="s">
        <v>288</v>
      </c>
      <c r="B542" s="2">
        <v>154</v>
      </c>
      <c r="C542" s="2">
        <v>22</v>
      </c>
      <c r="D542" s="1">
        <v>7</v>
      </c>
      <c r="E542" t="s">
        <v>23</v>
      </c>
      <c r="F542" t="s">
        <v>81</v>
      </c>
      <c r="G542" t="s">
        <v>10</v>
      </c>
    </row>
    <row r="543" spans="1:7" x14ac:dyDescent="0.25">
      <c r="A543" t="s">
        <v>334</v>
      </c>
      <c r="B543" s="2">
        <v>152</v>
      </c>
      <c r="C543" s="2">
        <v>23</v>
      </c>
      <c r="D543" s="1">
        <v>3</v>
      </c>
      <c r="E543" t="s">
        <v>12</v>
      </c>
      <c r="F543" t="s">
        <v>131</v>
      </c>
      <c r="G543" t="s">
        <v>10</v>
      </c>
    </row>
    <row r="544" spans="1:7" x14ac:dyDescent="0.25">
      <c r="A544" t="s">
        <v>335</v>
      </c>
      <c r="B544" s="2">
        <v>152</v>
      </c>
      <c r="C544" s="2">
        <v>50</v>
      </c>
      <c r="D544" s="1">
        <v>6</v>
      </c>
      <c r="E544" t="s">
        <v>23</v>
      </c>
      <c r="F544" t="s">
        <v>57</v>
      </c>
      <c r="G544" t="s">
        <v>10</v>
      </c>
    </row>
    <row r="545" spans="1:7" x14ac:dyDescent="0.25">
      <c r="A545" t="s">
        <v>205</v>
      </c>
      <c r="B545" s="2">
        <v>122</v>
      </c>
      <c r="C545" s="2">
        <v>-21</v>
      </c>
      <c r="D545" s="1">
        <v>3</v>
      </c>
      <c r="E545" t="s">
        <v>12</v>
      </c>
      <c r="F545" t="s">
        <v>131</v>
      </c>
      <c r="G545" t="s">
        <v>28</v>
      </c>
    </row>
    <row r="546" spans="1:7" x14ac:dyDescent="0.25">
      <c r="A546" t="s">
        <v>234</v>
      </c>
      <c r="B546" s="2">
        <v>149</v>
      </c>
      <c r="C546" s="2">
        <v>48</v>
      </c>
      <c r="D546" s="1">
        <v>6</v>
      </c>
      <c r="E546" t="s">
        <v>23</v>
      </c>
      <c r="F546" t="s">
        <v>57</v>
      </c>
      <c r="G546" t="s">
        <v>10</v>
      </c>
    </row>
    <row r="547" spans="1:7" x14ac:dyDescent="0.25">
      <c r="A547" t="s">
        <v>336</v>
      </c>
      <c r="B547" s="2">
        <v>149</v>
      </c>
      <c r="C547" s="2">
        <v>-87</v>
      </c>
      <c r="D547" s="1">
        <v>4</v>
      </c>
      <c r="E547" t="s">
        <v>23</v>
      </c>
      <c r="F547" t="s">
        <v>26</v>
      </c>
      <c r="G547" t="s">
        <v>10</v>
      </c>
    </row>
    <row r="548" spans="1:7" x14ac:dyDescent="0.25">
      <c r="A548" t="s">
        <v>281</v>
      </c>
      <c r="B548" s="2">
        <v>197</v>
      </c>
      <c r="C548" s="2">
        <v>20</v>
      </c>
      <c r="D548" s="1">
        <v>4</v>
      </c>
      <c r="E548" t="s">
        <v>23</v>
      </c>
      <c r="F548" t="s">
        <v>32</v>
      </c>
      <c r="G548" t="s">
        <v>19</v>
      </c>
    </row>
    <row r="549" spans="1:7" x14ac:dyDescent="0.25">
      <c r="A549" t="s">
        <v>66</v>
      </c>
      <c r="B549" s="2">
        <v>76</v>
      </c>
      <c r="C549" s="2">
        <v>-54</v>
      </c>
      <c r="D549" s="1">
        <v>3</v>
      </c>
      <c r="E549" t="s">
        <v>8</v>
      </c>
      <c r="F549" t="s">
        <v>9</v>
      </c>
      <c r="G549" t="s">
        <v>10</v>
      </c>
    </row>
    <row r="550" spans="1:7" x14ac:dyDescent="0.25">
      <c r="A550" t="s">
        <v>262</v>
      </c>
      <c r="B550" s="2">
        <v>221</v>
      </c>
      <c r="C550" s="2">
        <v>-15</v>
      </c>
      <c r="D550" s="1">
        <v>2</v>
      </c>
      <c r="E550" t="s">
        <v>8</v>
      </c>
      <c r="F550" t="s">
        <v>9</v>
      </c>
      <c r="G550" t="s">
        <v>10</v>
      </c>
    </row>
    <row r="551" spans="1:7" x14ac:dyDescent="0.25">
      <c r="A551" t="s">
        <v>230</v>
      </c>
      <c r="B551" s="2">
        <v>79</v>
      </c>
      <c r="C551" s="2">
        <v>32</v>
      </c>
      <c r="D551" s="1">
        <v>3</v>
      </c>
      <c r="E551" t="s">
        <v>23</v>
      </c>
      <c r="F551" t="s">
        <v>26</v>
      </c>
      <c r="G551" t="s">
        <v>82</v>
      </c>
    </row>
    <row r="552" spans="1:7" x14ac:dyDescent="0.25">
      <c r="A552" t="s">
        <v>337</v>
      </c>
      <c r="B552" s="2">
        <v>45</v>
      </c>
      <c r="C552" s="2">
        <v>12</v>
      </c>
      <c r="D552" s="1">
        <v>7</v>
      </c>
      <c r="E552" t="s">
        <v>23</v>
      </c>
      <c r="F552" t="s">
        <v>30</v>
      </c>
      <c r="G552" t="s">
        <v>28</v>
      </c>
    </row>
    <row r="553" spans="1:7" x14ac:dyDescent="0.25">
      <c r="A553" t="s">
        <v>221</v>
      </c>
      <c r="B553" s="2">
        <v>149</v>
      </c>
      <c r="C553" s="2">
        <v>-1</v>
      </c>
      <c r="D553" s="1">
        <v>1</v>
      </c>
      <c r="E553" t="s">
        <v>23</v>
      </c>
      <c r="F553" t="s">
        <v>26</v>
      </c>
      <c r="G553" t="s">
        <v>10</v>
      </c>
    </row>
    <row r="554" spans="1:7" x14ac:dyDescent="0.25">
      <c r="A554" t="s">
        <v>301</v>
      </c>
      <c r="B554" s="2">
        <v>80</v>
      </c>
      <c r="C554" s="2">
        <v>22</v>
      </c>
      <c r="D554" s="1">
        <v>3</v>
      </c>
      <c r="E554" t="s">
        <v>23</v>
      </c>
      <c r="F554" t="s">
        <v>57</v>
      </c>
      <c r="G554" t="s">
        <v>82</v>
      </c>
    </row>
    <row r="555" spans="1:7" x14ac:dyDescent="0.25">
      <c r="A555" t="s">
        <v>256</v>
      </c>
      <c r="B555" s="2">
        <v>195</v>
      </c>
      <c r="C555" s="2">
        <v>12</v>
      </c>
      <c r="D555" s="1">
        <v>9</v>
      </c>
      <c r="E555" t="s">
        <v>23</v>
      </c>
      <c r="F555" t="s">
        <v>142</v>
      </c>
      <c r="G555" t="s">
        <v>19</v>
      </c>
    </row>
    <row r="556" spans="1:7" x14ac:dyDescent="0.25">
      <c r="A556" t="s">
        <v>54</v>
      </c>
      <c r="B556" s="2">
        <v>19</v>
      </c>
      <c r="C556" s="2">
        <v>0</v>
      </c>
      <c r="D556" s="1">
        <v>3</v>
      </c>
      <c r="E556" t="s">
        <v>23</v>
      </c>
      <c r="F556" t="s">
        <v>43</v>
      </c>
      <c r="G556" t="s">
        <v>28</v>
      </c>
    </row>
    <row r="557" spans="1:7" x14ac:dyDescent="0.25">
      <c r="A557" t="s">
        <v>132</v>
      </c>
      <c r="B557" s="2">
        <v>81</v>
      </c>
      <c r="C557" s="2">
        <v>41</v>
      </c>
      <c r="D557" s="1">
        <v>3</v>
      </c>
      <c r="E557" t="s">
        <v>23</v>
      </c>
      <c r="F557" t="s">
        <v>57</v>
      </c>
      <c r="G557" t="s">
        <v>82</v>
      </c>
    </row>
    <row r="558" spans="1:7" x14ac:dyDescent="0.25">
      <c r="A558" t="s">
        <v>338</v>
      </c>
      <c r="B558" s="2">
        <v>83</v>
      </c>
      <c r="C558" s="2">
        <v>34</v>
      </c>
      <c r="D558" s="1">
        <v>5</v>
      </c>
      <c r="E558" t="s">
        <v>23</v>
      </c>
      <c r="F558" t="s">
        <v>142</v>
      </c>
      <c r="G558" t="s">
        <v>82</v>
      </c>
    </row>
    <row r="559" spans="1:7" x14ac:dyDescent="0.25">
      <c r="A559" t="s">
        <v>49</v>
      </c>
      <c r="B559" s="2">
        <v>149</v>
      </c>
      <c r="C559" s="2">
        <v>17</v>
      </c>
      <c r="D559" s="1">
        <v>4</v>
      </c>
      <c r="E559" t="s">
        <v>12</v>
      </c>
      <c r="F559" t="s">
        <v>131</v>
      </c>
      <c r="G559" t="s">
        <v>10</v>
      </c>
    </row>
    <row r="560" spans="1:7" x14ac:dyDescent="0.25">
      <c r="A560" t="s">
        <v>339</v>
      </c>
      <c r="B560" s="2">
        <v>193</v>
      </c>
      <c r="C560" s="2">
        <v>46</v>
      </c>
      <c r="D560" s="1">
        <v>1</v>
      </c>
      <c r="E560" t="s">
        <v>8</v>
      </c>
      <c r="F560" t="s">
        <v>18</v>
      </c>
      <c r="G560" t="s">
        <v>19</v>
      </c>
    </row>
    <row r="561" spans="1:7" x14ac:dyDescent="0.25">
      <c r="A561" t="s">
        <v>88</v>
      </c>
      <c r="B561" s="2">
        <v>85</v>
      </c>
      <c r="C561" s="2">
        <v>24</v>
      </c>
      <c r="D561" s="1">
        <v>10</v>
      </c>
      <c r="E561" t="s">
        <v>23</v>
      </c>
      <c r="F561" t="s">
        <v>30</v>
      </c>
      <c r="G561" t="s">
        <v>82</v>
      </c>
    </row>
    <row r="562" spans="1:7" x14ac:dyDescent="0.25">
      <c r="A562" t="s">
        <v>221</v>
      </c>
      <c r="B562" s="2">
        <v>44</v>
      </c>
      <c r="C562" s="2">
        <v>-17</v>
      </c>
      <c r="D562" s="1">
        <v>5</v>
      </c>
      <c r="E562" t="s">
        <v>23</v>
      </c>
      <c r="F562" t="s">
        <v>26</v>
      </c>
      <c r="G562" t="s">
        <v>28</v>
      </c>
    </row>
    <row r="563" spans="1:7" x14ac:dyDescent="0.25">
      <c r="A563" t="s">
        <v>340</v>
      </c>
      <c r="B563" s="2">
        <v>149</v>
      </c>
      <c r="C563" s="2">
        <v>-40</v>
      </c>
      <c r="D563" s="1">
        <v>2</v>
      </c>
      <c r="E563" t="s">
        <v>8</v>
      </c>
      <c r="F563" t="s">
        <v>21</v>
      </c>
      <c r="G563" t="s">
        <v>10</v>
      </c>
    </row>
    <row r="564" spans="1:7" x14ac:dyDescent="0.25">
      <c r="A564" t="s">
        <v>341</v>
      </c>
      <c r="B564" s="2">
        <v>26</v>
      </c>
      <c r="C564" s="2">
        <v>0</v>
      </c>
      <c r="D564" s="1">
        <v>2</v>
      </c>
      <c r="E564" t="s">
        <v>23</v>
      </c>
      <c r="F564" t="s">
        <v>32</v>
      </c>
      <c r="G564" t="s">
        <v>10</v>
      </c>
    </row>
    <row r="565" spans="1:7" x14ac:dyDescent="0.25">
      <c r="A565" t="s">
        <v>258</v>
      </c>
      <c r="B565" s="2">
        <v>86</v>
      </c>
      <c r="C565" s="2">
        <v>0</v>
      </c>
      <c r="D565" s="1">
        <v>4</v>
      </c>
      <c r="E565" t="s">
        <v>23</v>
      </c>
      <c r="F565" t="s">
        <v>81</v>
      </c>
      <c r="G565" t="s">
        <v>82</v>
      </c>
    </row>
    <row r="566" spans="1:7" x14ac:dyDescent="0.25">
      <c r="A566" t="s">
        <v>342</v>
      </c>
      <c r="B566" s="2">
        <v>86</v>
      </c>
      <c r="C566" s="2">
        <v>22</v>
      </c>
      <c r="D566" s="1">
        <v>2</v>
      </c>
      <c r="E566" t="s">
        <v>23</v>
      </c>
      <c r="F566" t="s">
        <v>26</v>
      </c>
      <c r="G566" t="s">
        <v>82</v>
      </c>
    </row>
    <row r="567" spans="1:7" x14ac:dyDescent="0.25">
      <c r="A567" t="s">
        <v>60</v>
      </c>
      <c r="B567" s="2">
        <v>79</v>
      </c>
      <c r="C567" s="2">
        <v>16</v>
      </c>
      <c r="D567" s="1">
        <v>3</v>
      </c>
      <c r="E567" t="s">
        <v>23</v>
      </c>
      <c r="F567" t="s">
        <v>81</v>
      </c>
      <c r="G567" t="s">
        <v>10</v>
      </c>
    </row>
    <row r="568" spans="1:7" x14ac:dyDescent="0.25">
      <c r="A568" t="s">
        <v>343</v>
      </c>
      <c r="B568" s="2">
        <v>193</v>
      </c>
      <c r="C568" s="2">
        <v>-275</v>
      </c>
      <c r="D568" s="1">
        <v>3</v>
      </c>
      <c r="E568" t="s">
        <v>8</v>
      </c>
      <c r="F568" t="s">
        <v>21</v>
      </c>
      <c r="G568" t="s">
        <v>19</v>
      </c>
    </row>
    <row r="569" spans="1:7" x14ac:dyDescent="0.25">
      <c r="A569" t="s">
        <v>163</v>
      </c>
      <c r="B569" s="2">
        <v>148</v>
      </c>
      <c r="C569" s="2">
        <v>0</v>
      </c>
      <c r="D569" s="1">
        <v>3</v>
      </c>
      <c r="E569" t="s">
        <v>23</v>
      </c>
      <c r="F569" t="s">
        <v>26</v>
      </c>
      <c r="G569" t="s">
        <v>10</v>
      </c>
    </row>
    <row r="570" spans="1:7" x14ac:dyDescent="0.25">
      <c r="A570" t="s">
        <v>344</v>
      </c>
      <c r="B570" s="2">
        <v>70</v>
      </c>
      <c r="C570" s="2">
        <v>-14</v>
      </c>
      <c r="D570" s="1">
        <v>2</v>
      </c>
      <c r="E570" t="s">
        <v>12</v>
      </c>
      <c r="F570" t="s">
        <v>131</v>
      </c>
      <c r="G570" t="s">
        <v>28</v>
      </c>
    </row>
    <row r="571" spans="1:7" x14ac:dyDescent="0.25">
      <c r="A571" t="s">
        <v>345</v>
      </c>
      <c r="B571" s="2">
        <v>148</v>
      </c>
      <c r="C571" s="2">
        <v>59</v>
      </c>
      <c r="D571" s="1">
        <v>3</v>
      </c>
      <c r="E571" t="s">
        <v>23</v>
      </c>
      <c r="F571" t="s">
        <v>30</v>
      </c>
      <c r="G571" t="s">
        <v>10</v>
      </c>
    </row>
    <row r="572" spans="1:7" x14ac:dyDescent="0.25">
      <c r="A572" t="s">
        <v>46</v>
      </c>
      <c r="B572" s="2">
        <v>190</v>
      </c>
      <c r="C572" s="2">
        <v>19</v>
      </c>
      <c r="D572" s="1">
        <v>9</v>
      </c>
      <c r="E572" t="s">
        <v>12</v>
      </c>
      <c r="F572" t="s">
        <v>131</v>
      </c>
      <c r="G572" t="s">
        <v>19</v>
      </c>
    </row>
    <row r="573" spans="1:7" x14ac:dyDescent="0.25">
      <c r="A573" t="s">
        <v>260</v>
      </c>
      <c r="B573" s="2">
        <v>52</v>
      </c>
      <c r="C573" s="2">
        <v>14</v>
      </c>
      <c r="D573" s="1">
        <v>2</v>
      </c>
      <c r="E573" t="s">
        <v>23</v>
      </c>
      <c r="F573" t="s">
        <v>57</v>
      </c>
      <c r="G573" t="s">
        <v>10</v>
      </c>
    </row>
    <row r="574" spans="1:7" x14ac:dyDescent="0.25">
      <c r="A574" t="s">
        <v>327</v>
      </c>
      <c r="B574" s="2">
        <v>147</v>
      </c>
      <c r="C574" s="2">
        <v>44</v>
      </c>
      <c r="D574" s="1">
        <v>3</v>
      </c>
      <c r="E574" t="s">
        <v>23</v>
      </c>
      <c r="F574" t="s">
        <v>26</v>
      </c>
      <c r="G574" t="s">
        <v>10</v>
      </c>
    </row>
    <row r="575" spans="1:7" x14ac:dyDescent="0.25">
      <c r="A575" t="s">
        <v>191</v>
      </c>
      <c r="B575" s="2">
        <v>190</v>
      </c>
      <c r="C575" s="2">
        <v>68</v>
      </c>
      <c r="D575" s="1">
        <v>8</v>
      </c>
      <c r="E575" t="s">
        <v>23</v>
      </c>
      <c r="F575" t="s">
        <v>81</v>
      </c>
      <c r="G575" t="s">
        <v>19</v>
      </c>
    </row>
    <row r="576" spans="1:7" x14ac:dyDescent="0.25">
      <c r="A576" t="s">
        <v>346</v>
      </c>
      <c r="B576" s="2">
        <v>80</v>
      </c>
      <c r="C576" s="2">
        <v>-56</v>
      </c>
      <c r="D576" s="1">
        <v>4</v>
      </c>
      <c r="E576" t="s">
        <v>8</v>
      </c>
      <c r="F576" t="s">
        <v>9</v>
      </c>
      <c r="G576" t="s">
        <v>28</v>
      </c>
    </row>
    <row r="577" spans="1:7" x14ac:dyDescent="0.25">
      <c r="A577" t="s">
        <v>133</v>
      </c>
      <c r="B577" s="2">
        <v>147</v>
      </c>
      <c r="C577" s="2">
        <v>48</v>
      </c>
      <c r="D577" s="1">
        <v>3</v>
      </c>
      <c r="E577" t="s">
        <v>23</v>
      </c>
      <c r="F577" t="s">
        <v>26</v>
      </c>
      <c r="G577" t="s">
        <v>10</v>
      </c>
    </row>
    <row r="578" spans="1:7" x14ac:dyDescent="0.25">
      <c r="A578" t="s">
        <v>186</v>
      </c>
      <c r="B578" s="2">
        <v>66</v>
      </c>
      <c r="C578" s="2">
        <v>12</v>
      </c>
      <c r="D578" s="1">
        <v>3</v>
      </c>
      <c r="E578" t="s">
        <v>23</v>
      </c>
      <c r="F578" t="s">
        <v>57</v>
      </c>
      <c r="G578" t="s">
        <v>10</v>
      </c>
    </row>
    <row r="579" spans="1:7" x14ac:dyDescent="0.25">
      <c r="A579" t="s">
        <v>347</v>
      </c>
      <c r="B579" s="2">
        <v>86</v>
      </c>
      <c r="C579" s="2">
        <v>8</v>
      </c>
      <c r="D579" s="1">
        <v>2</v>
      </c>
      <c r="E579" t="s">
        <v>23</v>
      </c>
      <c r="F579" t="s">
        <v>26</v>
      </c>
      <c r="G579" t="s">
        <v>82</v>
      </c>
    </row>
    <row r="580" spans="1:7" x14ac:dyDescent="0.25">
      <c r="A580" t="s">
        <v>273</v>
      </c>
      <c r="B580" s="2">
        <v>88</v>
      </c>
      <c r="C580" s="2">
        <v>19</v>
      </c>
      <c r="D580" s="1">
        <v>2</v>
      </c>
      <c r="E580" t="s">
        <v>23</v>
      </c>
      <c r="F580" t="s">
        <v>142</v>
      </c>
      <c r="G580" t="s">
        <v>82</v>
      </c>
    </row>
    <row r="581" spans="1:7" x14ac:dyDescent="0.25">
      <c r="A581" t="s">
        <v>132</v>
      </c>
      <c r="B581" s="2">
        <v>188</v>
      </c>
      <c r="C581" s="2">
        <v>-193</v>
      </c>
      <c r="D581" s="1">
        <v>2</v>
      </c>
      <c r="E581" t="s">
        <v>8</v>
      </c>
      <c r="F581" t="s">
        <v>9</v>
      </c>
      <c r="G581" t="s">
        <v>19</v>
      </c>
    </row>
    <row r="582" spans="1:7" x14ac:dyDescent="0.25">
      <c r="A582" t="s">
        <v>179</v>
      </c>
      <c r="B582" s="2">
        <v>89</v>
      </c>
      <c r="C582" s="2">
        <v>29</v>
      </c>
      <c r="D582" s="1">
        <v>2</v>
      </c>
      <c r="E582" t="s">
        <v>23</v>
      </c>
      <c r="F582" t="s">
        <v>57</v>
      </c>
      <c r="G582" t="s">
        <v>28</v>
      </c>
    </row>
    <row r="583" spans="1:7" x14ac:dyDescent="0.25">
      <c r="A583" t="s">
        <v>348</v>
      </c>
      <c r="B583" s="2">
        <v>146</v>
      </c>
      <c r="C583" s="2">
        <v>19</v>
      </c>
      <c r="D583" s="1">
        <v>5</v>
      </c>
      <c r="E583" t="s">
        <v>23</v>
      </c>
      <c r="F583" t="s">
        <v>57</v>
      </c>
      <c r="G583" t="s">
        <v>10</v>
      </c>
    </row>
    <row r="584" spans="1:7" x14ac:dyDescent="0.25">
      <c r="A584" t="s">
        <v>124</v>
      </c>
      <c r="B584" s="2">
        <v>143</v>
      </c>
      <c r="C584" s="2">
        <v>32</v>
      </c>
      <c r="D584" s="1">
        <v>1</v>
      </c>
      <c r="E584" t="s">
        <v>12</v>
      </c>
      <c r="F584" t="s">
        <v>16</v>
      </c>
      <c r="G584" t="s">
        <v>10</v>
      </c>
    </row>
    <row r="585" spans="1:7" x14ac:dyDescent="0.25">
      <c r="A585" t="s">
        <v>276</v>
      </c>
      <c r="B585" s="2">
        <v>25</v>
      </c>
      <c r="C585" s="2">
        <v>-1</v>
      </c>
      <c r="D585" s="1">
        <v>4</v>
      </c>
      <c r="E585" t="s">
        <v>23</v>
      </c>
      <c r="F585" t="s">
        <v>32</v>
      </c>
      <c r="G585" t="s">
        <v>10</v>
      </c>
    </row>
    <row r="586" spans="1:7" x14ac:dyDescent="0.25">
      <c r="A586" t="s">
        <v>329</v>
      </c>
      <c r="B586" s="2">
        <v>30</v>
      </c>
      <c r="C586" s="2">
        <v>12</v>
      </c>
      <c r="D586" s="1">
        <v>3</v>
      </c>
      <c r="E586" t="s">
        <v>23</v>
      </c>
      <c r="F586" t="s">
        <v>43</v>
      </c>
      <c r="G586" t="s">
        <v>28</v>
      </c>
    </row>
    <row r="587" spans="1:7" x14ac:dyDescent="0.25">
      <c r="A587" t="s">
        <v>144</v>
      </c>
      <c r="B587" s="2">
        <v>140</v>
      </c>
      <c r="C587" s="2">
        <v>-58</v>
      </c>
      <c r="D587" s="1">
        <v>4</v>
      </c>
      <c r="E587" t="s">
        <v>12</v>
      </c>
      <c r="F587" t="s">
        <v>131</v>
      </c>
      <c r="G587" t="s">
        <v>10</v>
      </c>
    </row>
    <row r="588" spans="1:7" x14ac:dyDescent="0.25">
      <c r="A588" t="s">
        <v>246</v>
      </c>
      <c r="B588" s="2">
        <v>83</v>
      </c>
      <c r="C588" s="2">
        <v>-48</v>
      </c>
      <c r="D588" s="1">
        <v>1</v>
      </c>
      <c r="E588" t="s">
        <v>12</v>
      </c>
      <c r="F588" t="s">
        <v>16</v>
      </c>
      <c r="G588" t="s">
        <v>28</v>
      </c>
    </row>
    <row r="589" spans="1:7" x14ac:dyDescent="0.25">
      <c r="A589" t="s">
        <v>349</v>
      </c>
      <c r="B589" s="2">
        <v>140</v>
      </c>
      <c r="C589" s="2">
        <v>6</v>
      </c>
      <c r="D589" s="1">
        <v>5</v>
      </c>
      <c r="E589" t="s">
        <v>23</v>
      </c>
      <c r="F589" t="s">
        <v>26</v>
      </c>
      <c r="G589" t="s">
        <v>10</v>
      </c>
    </row>
    <row r="590" spans="1:7" x14ac:dyDescent="0.25">
      <c r="A590" t="s">
        <v>198</v>
      </c>
      <c r="B590" s="2">
        <v>28</v>
      </c>
      <c r="C590" s="2">
        <v>14</v>
      </c>
      <c r="D590" s="1">
        <v>4</v>
      </c>
      <c r="E590" t="s">
        <v>23</v>
      </c>
      <c r="F590" t="s">
        <v>30</v>
      </c>
      <c r="G590" t="s">
        <v>10</v>
      </c>
    </row>
    <row r="591" spans="1:7" x14ac:dyDescent="0.25">
      <c r="A591" t="s">
        <v>350</v>
      </c>
      <c r="B591" s="2">
        <v>139</v>
      </c>
      <c r="C591" s="2">
        <v>14</v>
      </c>
      <c r="D591" s="1">
        <v>3</v>
      </c>
      <c r="E591" t="s">
        <v>23</v>
      </c>
      <c r="F591" t="s">
        <v>57</v>
      </c>
      <c r="G591" t="s">
        <v>10</v>
      </c>
    </row>
    <row r="592" spans="1:7" x14ac:dyDescent="0.25">
      <c r="A592" t="s">
        <v>41</v>
      </c>
      <c r="B592" s="2">
        <v>30</v>
      </c>
      <c r="C592" s="2">
        <v>14</v>
      </c>
      <c r="D592" s="1">
        <v>3</v>
      </c>
      <c r="E592" t="s">
        <v>23</v>
      </c>
      <c r="F592" t="s">
        <v>30</v>
      </c>
      <c r="G592" t="s">
        <v>28</v>
      </c>
    </row>
    <row r="593" spans="1:7" x14ac:dyDescent="0.25">
      <c r="A593" t="s">
        <v>254</v>
      </c>
      <c r="B593" s="2">
        <v>89</v>
      </c>
      <c r="C593" s="2">
        <v>36</v>
      </c>
      <c r="D593" s="1">
        <v>3</v>
      </c>
      <c r="E593" t="s">
        <v>23</v>
      </c>
      <c r="F593" t="s">
        <v>142</v>
      </c>
      <c r="G593" t="s">
        <v>28</v>
      </c>
    </row>
    <row r="594" spans="1:7" x14ac:dyDescent="0.25">
      <c r="A594" t="s">
        <v>121</v>
      </c>
      <c r="B594" s="2">
        <v>187</v>
      </c>
      <c r="C594" s="2">
        <v>30</v>
      </c>
      <c r="D594" s="1">
        <v>4</v>
      </c>
      <c r="E594" t="s">
        <v>8</v>
      </c>
      <c r="F594" t="s">
        <v>73</v>
      </c>
      <c r="G594" t="s">
        <v>19</v>
      </c>
    </row>
    <row r="595" spans="1:7" x14ac:dyDescent="0.25">
      <c r="A595" t="s">
        <v>273</v>
      </c>
      <c r="B595" s="2">
        <v>139</v>
      </c>
      <c r="C595" s="2">
        <v>21</v>
      </c>
      <c r="D595" s="1">
        <v>3</v>
      </c>
      <c r="E595" t="s">
        <v>8</v>
      </c>
      <c r="F595" t="s">
        <v>73</v>
      </c>
      <c r="G595" t="s">
        <v>10</v>
      </c>
    </row>
    <row r="596" spans="1:7" x14ac:dyDescent="0.25">
      <c r="A596" t="s">
        <v>289</v>
      </c>
      <c r="B596" s="2">
        <v>437</v>
      </c>
      <c r="C596" s="2">
        <v>-14</v>
      </c>
      <c r="D596" s="1">
        <v>2</v>
      </c>
      <c r="E596" t="s">
        <v>23</v>
      </c>
      <c r="F596" t="s">
        <v>26</v>
      </c>
      <c r="G596" t="s">
        <v>28</v>
      </c>
    </row>
    <row r="597" spans="1:7" x14ac:dyDescent="0.25">
      <c r="A597" t="s">
        <v>227</v>
      </c>
      <c r="B597" s="2">
        <v>138</v>
      </c>
      <c r="C597" s="2">
        <v>-3</v>
      </c>
      <c r="D597" s="1">
        <v>5</v>
      </c>
      <c r="E597" t="s">
        <v>23</v>
      </c>
      <c r="F597" t="s">
        <v>26</v>
      </c>
      <c r="G597" t="s">
        <v>10</v>
      </c>
    </row>
    <row r="598" spans="1:7" x14ac:dyDescent="0.25">
      <c r="A598" t="s">
        <v>299</v>
      </c>
      <c r="B598" s="2">
        <v>85</v>
      </c>
      <c r="C598" s="2">
        <v>13</v>
      </c>
      <c r="D598" s="1">
        <v>2</v>
      </c>
      <c r="E598" t="s">
        <v>23</v>
      </c>
      <c r="F598" t="s">
        <v>142</v>
      </c>
      <c r="G598" t="s">
        <v>28</v>
      </c>
    </row>
    <row r="599" spans="1:7" x14ac:dyDescent="0.25">
      <c r="A599" t="s">
        <v>202</v>
      </c>
      <c r="B599" s="2">
        <v>83</v>
      </c>
      <c r="C599" s="2">
        <v>12</v>
      </c>
      <c r="D599" s="1">
        <v>3</v>
      </c>
      <c r="E599" t="s">
        <v>23</v>
      </c>
      <c r="F599" t="s">
        <v>57</v>
      </c>
      <c r="G599" t="s">
        <v>28</v>
      </c>
    </row>
    <row r="600" spans="1:7" x14ac:dyDescent="0.25">
      <c r="A600" t="s">
        <v>294</v>
      </c>
      <c r="B600" s="2">
        <v>91</v>
      </c>
      <c r="C600" s="2">
        <v>22</v>
      </c>
      <c r="D600" s="1">
        <v>2</v>
      </c>
      <c r="E600" t="s">
        <v>23</v>
      </c>
      <c r="F600" t="s">
        <v>57</v>
      </c>
      <c r="G600" t="s">
        <v>28</v>
      </c>
    </row>
    <row r="601" spans="1:7" x14ac:dyDescent="0.25">
      <c r="A601" t="s">
        <v>172</v>
      </c>
      <c r="B601" s="2">
        <v>137</v>
      </c>
      <c r="C601" s="2">
        <v>5</v>
      </c>
      <c r="D601" s="1">
        <v>5</v>
      </c>
      <c r="E601" t="s">
        <v>23</v>
      </c>
      <c r="F601" t="s">
        <v>142</v>
      </c>
      <c r="G601" t="s">
        <v>10</v>
      </c>
    </row>
    <row r="602" spans="1:7" x14ac:dyDescent="0.25">
      <c r="A602" t="s">
        <v>351</v>
      </c>
      <c r="B602" s="2">
        <v>33</v>
      </c>
      <c r="C602" s="2">
        <v>-12</v>
      </c>
      <c r="D602" s="1">
        <v>7</v>
      </c>
      <c r="E602" t="s">
        <v>23</v>
      </c>
      <c r="F602" t="s">
        <v>26</v>
      </c>
      <c r="G602" t="s">
        <v>28</v>
      </c>
    </row>
    <row r="603" spans="1:7" x14ac:dyDescent="0.25">
      <c r="A603" t="s">
        <v>67</v>
      </c>
      <c r="B603" s="2">
        <v>134</v>
      </c>
      <c r="C603" s="2">
        <v>-34</v>
      </c>
      <c r="D603" s="1">
        <v>2</v>
      </c>
      <c r="E603" t="s">
        <v>12</v>
      </c>
      <c r="F603" t="s">
        <v>13</v>
      </c>
      <c r="G603" t="s">
        <v>10</v>
      </c>
    </row>
    <row r="604" spans="1:7" x14ac:dyDescent="0.25">
      <c r="A604" t="s">
        <v>352</v>
      </c>
      <c r="B604" s="2">
        <v>134</v>
      </c>
      <c r="C604" s="2">
        <v>42</v>
      </c>
      <c r="D604" s="1">
        <v>2</v>
      </c>
      <c r="E604" t="s">
        <v>12</v>
      </c>
      <c r="F604" t="s">
        <v>13</v>
      </c>
      <c r="G604" t="s">
        <v>10</v>
      </c>
    </row>
    <row r="605" spans="1:7" x14ac:dyDescent="0.25">
      <c r="A605" t="s">
        <v>353</v>
      </c>
      <c r="B605" s="2">
        <v>133</v>
      </c>
      <c r="C605" s="2">
        <v>-56</v>
      </c>
      <c r="D605" s="1">
        <v>2</v>
      </c>
      <c r="E605" t="s">
        <v>12</v>
      </c>
      <c r="F605" t="s">
        <v>13</v>
      </c>
      <c r="G605" t="s">
        <v>10</v>
      </c>
    </row>
    <row r="606" spans="1:7" x14ac:dyDescent="0.25">
      <c r="A606" t="s">
        <v>200</v>
      </c>
      <c r="B606" s="2">
        <v>93</v>
      </c>
      <c r="C606" s="2">
        <v>-84</v>
      </c>
      <c r="D606" s="1">
        <v>3</v>
      </c>
      <c r="E606" t="s">
        <v>23</v>
      </c>
      <c r="F606" t="s">
        <v>26</v>
      </c>
      <c r="G606" t="s">
        <v>28</v>
      </c>
    </row>
    <row r="607" spans="1:7" x14ac:dyDescent="0.25">
      <c r="A607" t="s">
        <v>161</v>
      </c>
      <c r="B607" s="2">
        <v>86</v>
      </c>
      <c r="C607" s="2">
        <v>-21</v>
      </c>
      <c r="D607" s="1">
        <v>1</v>
      </c>
      <c r="E607" t="s">
        <v>8</v>
      </c>
      <c r="F607" t="s">
        <v>9</v>
      </c>
      <c r="G607" t="s">
        <v>28</v>
      </c>
    </row>
    <row r="608" spans="1:7" x14ac:dyDescent="0.25">
      <c r="A608" t="s">
        <v>48</v>
      </c>
      <c r="B608" s="2">
        <v>132</v>
      </c>
      <c r="C608" s="2">
        <v>54</v>
      </c>
      <c r="D608" s="1">
        <v>5</v>
      </c>
      <c r="E608" t="s">
        <v>23</v>
      </c>
      <c r="F608" t="s">
        <v>57</v>
      </c>
      <c r="G608" t="s">
        <v>10</v>
      </c>
    </row>
    <row r="609" spans="1:7" x14ac:dyDescent="0.25">
      <c r="A609" t="s">
        <v>83</v>
      </c>
      <c r="B609" s="2">
        <v>132</v>
      </c>
      <c r="C609" s="2">
        <v>-10</v>
      </c>
      <c r="D609" s="1">
        <v>3</v>
      </c>
      <c r="E609" t="s">
        <v>23</v>
      </c>
      <c r="F609" t="s">
        <v>26</v>
      </c>
      <c r="G609" t="s">
        <v>10</v>
      </c>
    </row>
    <row r="610" spans="1:7" x14ac:dyDescent="0.25">
      <c r="A610" t="s">
        <v>252</v>
      </c>
      <c r="B610" s="2">
        <v>132</v>
      </c>
      <c r="C610" s="2">
        <v>-79</v>
      </c>
      <c r="D610" s="1">
        <v>5</v>
      </c>
      <c r="E610" t="s">
        <v>12</v>
      </c>
      <c r="F610" t="s">
        <v>131</v>
      </c>
      <c r="G610" t="s">
        <v>10</v>
      </c>
    </row>
    <row r="611" spans="1:7" x14ac:dyDescent="0.25">
      <c r="A611" t="s">
        <v>292</v>
      </c>
      <c r="B611" s="2">
        <v>93</v>
      </c>
      <c r="C611" s="2">
        <v>-65</v>
      </c>
      <c r="D611" s="1">
        <v>4</v>
      </c>
      <c r="E611" t="s">
        <v>23</v>
      </c>
      <c r="F611" t="s">
        <v>57</v>
      </c>
      <c r="G611" t="s">
        <v>28</v>
      </c>
    </row>
    <row r="612" spans="1:7" x14ac:dyDescent="0.25">
      <c r="A612" t="s">
        <v>354</v>
      </c>
      <c r="B612" s="2">
        <v>95</v>
      </c>
      <c r="C612" s="2">
        <v>5</v>
      </c>
      <c r="D612" s="1">
        <v>2</v>
      </c>
      <c r="E612" t="s">
        <v>23</v>
      </c>
      <c r="F612" t="s">
        <v>57</v>
      </c>
      <c r="G612" t="s">
        <v>28</v>
      </c>
    </row>
    <row r="613" spans="1:7" x14ac:dyDescent="0.25">
      <c r="A613" t="s">
        <v>61</v>
      </c>
      <c r="B613" s="2">
        <v>97</v>
      </c>
      <c r="C613" s="2">
        <v>12</v>
      </c>
      <c r="D613" s="1">
        <v>2</v>
      </c>
      <c r="E613" t="s">
        <v>23</v>
      </c>
      <c r="F613" t="s">
        <v>30</v>
      </c>
      <c r="G613" t="s">
        <v>28</v>
      </c>
    </row>
    <row r="614" spans="1:7" x14ac:dyDescent="0.25">
      <c r="A614" t="s">
        <v>355</v>
      </c>
      <c r="B614" s="2">
        <v>131</v>
      </c>
      <c r="C614" s="2">
        <v>-154</v>
      </c>
      <c r="D614" s="1">
        <v>8</v>
      </c>
      <c r="E614" t="s">
        <v>12</v>
      </c>
      <c r="F614" t="s">
        <v>131</v>
      </c>
      <c r="G614" t="s">
        <v>10</v>
      </c>
    </row>
    <row r="615" spans="1:7" x14ac:dyDescent="0.25">
      <c r="A615" t="s">
        <v>298</v>
      </c>
      <c r="B615" s="2">
        <v>97</v>
      </c>
      <c r="C615" s="2">
        <v>29</v>
      </c>
      <c r="D615" s="1">
        <v>2</v>
      </c>
      <c r="E615" t="s">
        <v>23</v>
      </c>
      <c r="F615" t="s">
        <v>30</v>
      </c>
      <c r="G615" t="s">
        <v>28</v>
      </c>
    </row>
    <row r="616" spans="1:7" x14ac:dyDescent="0.25">
      <c r="A616" t="s">
        <v>41</v>
      </c>
      <c r="B616" s="2">
        <v>128</v>
      </c>
      <c r="C616" s="2">
        <v>4</v>
      </c>
      <c r="D616" s="1">
        <v>3</v>
      </c>
      <c r="E616" t="s">
        <v>23</v>
      </c>
      <c r="F616" t="s">
        <v>26</v>
      </c>
      <c r="G616" t="s">
        <v>10</v>
      </c>
    </row>
    <row r="617" spans="1:7" x14ac:dyDescent="0.25">
      <c r="A617" t="s">
        <v>33</v>
      </c>
      <c r="B617" s="2">
        <v>186</v>
      </c>
      <c r="C617" s="2">
        <v>241</v>
      </c>
      <c r="D617" s="1">
        <v>9</v>
      </c>
      <c r="E617" t="s">
        <v>23</v>
      </c>
      <c r="F617" t="s">
        <v>142</v>
      </c>
      <c r="G617" t="s">
        <v>19</v>
      </c>
    </row>
    <row r="618" spans="1:7" x14ac:dyDescent="0.25">
      <c r="A618" t="s">
        <v>60</v>
      </c>
      <c r="B618" s="2">
        <v>128</v>
      </c>
      <c r="C618" s="2">
        <v>47</v>
      </c>
      <c r="D618" s="1">
        <v>4</v>
      </c>
      <c r="E618" t="s">
        <v>23</v>
      </c>
      <c r="F618" t="s">
        <v>30</v>
      </c>
      <c r="G618" t="s">
        <v>10</v>
      </c>
    </row>
    <row r="619" spans="1:7" x14ac:dyDescent="0.25">
      <c r="A619" t="s">
        <v>172</v>
      </c>
      <c r="B619" s="2">
        <v>185</v>
      </c>
      <c r="C619" s="2">
        <v>48</v>
      </c>
      <c r="D619" s="1">
        <v>4</v>
      </c>
      <c r="E619" t="s">
        <v>23</v>
      </c>
      <c r="F619" t="s">
        <v>57</v>
      </c>
      <c r="G619" t="s">
        <v>19</v>
      </c>
    </row>
    <row r="620" spans="1:7" x14ac:dyDescent="0.25">
      <c r="A620" t="s">
        <v>356</v>
      </c>
      <c r="B620" s="2">
        <v>29</v>
      </c>
      <c r="C620" s="2">
        <v>10</v>
      </c>
      <c r="D620" s="1">
        <v>2</v>
      </c>
      <c r="E620" t="s">
        <v>23</v>
      </c>
      <c r="F620" t="s">
        <v>57</v>
      </c>
      <c r="G620" t="s">
        <v>10</v>
      </c>
    </row>
    <row r="621" spans="1:7" x14ac:dyDescent="0.25">
      <c r="A621" t="s">
        <v>59</v>
      </c>
      <c r="B621" s="2">
        <v>127</v>
      </c>
      <c r="C621" s="2">
        <v>29</v>
      </c>
      <c r="D621" s="1">
        <v>3</v>
      </c>
      <c r="E621" t="s">
        <v>12</v>
      </c>
      <c r="F621" t="s">
        <v>131</v>
      </c>
      <c r="G621" t="s">
        <v>10</v>
      </c>
    </row>
    <row r="622" spans="1:7" x14ac:dyDescent="0.25">
      <c r="A622" t="s">
        <v>237</v>
      </c>
      <c r="B622" s="2">
        <v>97</v>
      </c>
      <c r="C622" s="2">
        <v>36</v>
      </c>
      <c r="D622" s="1">
        <v>7</v>
      </c>
      <c r="E622" t="s">
        <v>23</v>
      </c>
      <c r="F622" t="s">
        <v>30</v>
      </c>
      <c r="G622" t="s">
        <v>28</v>
      </c>
    </row>
    <row r="623" spans="1:7" x14ac:dyDescent="0.25">
      <c r="A623" t="s">
        <v>139</v>
      </c>
      <c r="B623" s="2">
        <v>125</v>
      </c>
      <c r="C623" s="2">
        <v>0</v>
      </c>
      <c r="D623" s="1">
        <v>3</v>
      </c>
      <c r="E623" t="s">
        <v>8</v>
      </c>
      <c r="F623" t="s">
        <v>73</v>
      </c>
      <c r="G623" t="s">
        <v>10</v>
      </c>
    </row>
    <row r="624" spans="1:7" x14ac:dyDescent="0.25">
      <c r="A624" t="s">
        <v>357</v>
      </c>
      <c r="B624" s="2">
        <v>299</v>
      </c>
      <c r="C624" s="2">
        <v>-8</v>
      </c>
      <c r="D624" s="1">
        <v>2</v>
      </c>
      <c r="E624" t="s">
        <v>23</v>
      </c>
      <c r="F624" t="s">
        <v>26</v>
      </c>
      <c r="G624" t="s">
        <v>10</v>
      </c>
    </row>
    <row r="625" spans="1:7" x14ac:dyDescent="0.25">
      <c r="A625" t="s">
        <v>358</v>
      </c>
      <c r="B625" s="2">
        <v>124</v>
      </c>
      <c r="C625" s="2">
        <v>54</v>
      </c>
      <c r="D625" s="1">
        <v>5</v>
      </c>
      <c r="E625" t="s">
        <v>23</v>
      </c>
      <c r="F625" t="s">
        <v>81</v>
      </c>
      <c r="G625" t="s">
        <v>10</v>
      </c>
    </row>
    <row r="626" spans="1:7" x14ac:dyDescent="0.25">
      <c r="A626" t="s">
        <v>227</v>
      </c>
      <c r="B626" s="2">
        <v>90</v>
      </c>
      <c r="C626" s="2">
        <v>17</v>
      </c>
      <c r="D626" s="1">
        <v>3</v>
      </c>
      <c r="E626" t="s">
        <v>23</v>
      </c>
      <c r="F626" t="s">
        <v>142</v>
      </c>
      <c r="G626" t="s">
        <v>10</v>
      </c>
    </row>
    <row r="627" spans="1:7" x14ac:dyDescent="0.25">
      <c r="A627" t="s">
        <v>253</v>
      </c>
      <c r="B627" s="2">
        <v>122</v>
      </c>
      <c r="C627" s="2">
        <v>11</v>
      </c>
      <c r="D627" s="1">
        <v>4</v>
      </c>
      <c r="E627" t="s">
        <v>23</v>
      </c>
      <c r="F627" t="s">
        <v>30</v>
      </c>
      <c r="G627" t="s">
        <v>10</v>
      </c>
    </row>
    <row r="628" spans="1:7" x14ac:dyDescent="0.25">
      <c r="A628" t="s">
        <v>337</v>
      </c>
      <c r="B628" s="2">
        <v>122</v>
      </c>
      <c r="C628" s="2">
        <v>-66</v>
      </c>
      <c r="D628" s="1">
        <v>9</v>
      </c>
      <c r="E628" t="s">
        <v>8</v>
      </c>
      <c r="F628" t="s">
        <v>73</v>
      </c>
      <c r="G628" t="s">
        <v>10</v>
      </c>
    </row>
    <row r="629" spans="1:7" x14ac:dyDescent="0.25">
      <c r="A629" t="s">
        <v>69</v>
      </c>
      <c r="B629" s="2">
        <v>90</v>
      </c>
      <c r="C629" s="2">
        <v>30</v>
      </c>
      <c r="D629" s="1">
        <v>2</v>
      </c>
      <c r="E629" t="s">
        <v>12</v>
      </c>
      <c r="F629" t="s">
        <v>13</v>
      </c>
      <c r="G629" t="s">
        <v>28</v>
      </c>
    </row>
    <row r="630" spans="1:7" x14ac:dyDescent="0.25">
      <c r="A630" t="s">
        <v>359</v>
      </c>
      <c r="B630" s="2">
        <v>182</v>
      </c>
      <c r="C630" s="2">
        <v>-11</v>
      </c>
      <c r="D630" s="1">
        <v>3</v>
      </c>
      <c r="E630" t="s">
        <v>12</v>
      </c>
      <c r="F630" t="s">
        <v>16</v>
      </c>
      <c r="G630" t="s">
        <v>19</v>
      </c>
    </row>
    <row r="631" spans="1:7" x14ac:dyDescent="0.25">
      <c r="A631" t="s">
        <v>153</v>
      </c>
      <c r="B631" s="2">
        <v>122</v>
      </c>
      <c r="C631" s="2">
        <v>59</v>
      </c>
      <c r="D631" s="1">
        <v>7</v>
      </c>
      <c r="E631" t="s">
        <v>12</v>
      </c>
      <c r="F631" t="s">
        <v>131</v>
      </c>
      <c r="G631" t="s">
        <v>10</v>
      </c>
    </row>
    <row r="632" spans="1:7" x14ac:dyDescent="0.25">
      <c r="A632" t="s">
        <v>360</v>
      </c>
      <c r="B632" s="2">
        <v>121</v>
      </c>
      <c r="C632" s="2">
        <v>19</v>
      </c>
      <c r="D632" s="1">
        <v>4</v>
      </c>
      <c r="E632" t="s">
        <v>23</v>
      </c>
      <c r="F632" t="s">
        <v>57</v>
      </c>
      <c r="G632" t="s">
        <v>10</v>
      </c>
    </row>
    <row r="633" spans="1:7" x14ac:dyDescent="0.25">
      <c r="A633" t="s">
        <v>167</v>
      </c>
      <c r="B633" s="2">
        <v>120</v>
      </c>
      <c r="C633" s="2">
        <v>1</v>
      </c>
      <c r="D633" s="1">
        <v>1</v>
      </c>
      <c r="E633" t="s">
        <v>12</v>
      </c>
      <c r="F633" t="s">
        <v>13</v>
      </c>
      <c r="G633" t="s">
        <v>10</v>
      </c>
    </row>
    <row r="634" spans="1:7" x14ac:dyDescent="0.25">
      <c r="A634" t="s">
        <v>179</v>
      </c>
      <c r="B634" s="2">
        <v>120</v>
      </c>
      <c r="C634" s="2">
        <v>23</v>
      </c>
      <c r="D634" s="1">
        <v>5</v>
      </c>
      <c r="E634" t="s">
        <v>23</v>
      </c>
      <c r="F634" t="s">
        <v>57</v>
      </c>
      <c r="G634" t="s">
        <v>10</v>
      </c>
    </row>
    <row r="635" spans="1:7" x14ac:dyDescent="0.25">
      <c r="A635" t="s">
        <v>104</v>
      </c>
      <c r="B635" s="2">
        <v>34</v>
      </c>
      <c r="C635" s="2">
        <v>-11</v>
      </c>
      <c r="D635" s="1">
        <v>5</v>
      </c>
      <c r="E635" t="s">
        <v>23</v>
      </c>
      <c r="F635" t="s">
        <v>81</v>
      </c>
      <c r="G635" t="s">
        <v>10</v>
      </c>
    </row>
    <row r="636" spans="1:7" x14ac:dyDescent="0.25">
      <c r="A636" t="s">
        <v>97</v>
      </c>
      <c r="B636" s="2">
        <v>117</v>
      </c>
      <c r="C636" s="2">
        <v>17</v>
      </c>
      <c r="D636" s="1">
        <v>6</v>
      </c>
      <c r="E636" t="s">
        <v>23</v>
      </c>
      <c r="F636" t="s">
        <v>32</v>
      </c>
      <c r="G636" t="s">
        <v>10</v>
      </c>
    </row>
    <row r="637" spans="1:7" x14ac:dyDescent="0.25">
      <c r="A637" t="s">
        <v>361</v>
      </c>
      <c r="B637" s="2">
        <v>38</v>
      </c>
      <c r="C637" s="2">
        <v>9</v>
      </c>
      <c r="D637" s="1">
        <v>2</v>
      </c>
      <c r="E637" t="s">
        <v>23</v>
      </c>
      <c r="F637" t="s">
        <v>57</v>
      </c>
      <c r="G637" t="s">
        <v>10</v>
      </c>
    </row>
    <row r="638" spans="1:7" x14ac:dyDescent="0.25">
      <c r="A638" t="s">
        <v>25</v>
      </c>
      <c r="B638" s="2">
        <v>117</v>
      </c>
      <c r="C638" s="2">
        <v>-6</v>
      </c>
      <c r="D638" s="1">
        <v>3</v>
      </c>
      <c r="E638" t="s">
        <v>8</v>
      </c>
      <c r="F638" t="s">
        <v>21</v>
      </c>
      <c r="G638" t="s">
        <v>10</v>
      </c>
    </row>
    <row r="639" spans="1:7" x14ac:dyDescent="0.25">
      <c r="A639" t="s">
        <v>217</v>
      </c>
      <c r="B639" s="2">
        <v>180</v>
      </c>
      <c r="C639" s="2">
        <v>54</v>
      </c>
      <c r="D639" s="1">
        <v>4</v>
      </c>
      <c r="E639" t="s">
        <v>23</v>
      </c>
      <c r="F639" t="s">
        <v>81</v>
      </c>
      <c r="G639" t="s">
        <v>19</v>
      </c>
    </row>
    <row r="640" spans="1:7" x14ac:dyDescent="0.25">
      <c r="A640" t="s">
        <v>224</v>
      </c>
      <c r="B640" s="2">
        <v>99</v>
      </c>
      <c r="C640" s="2">
        <v>-5</v>
      </c>
      <c r="D640" s="1">
        <v>1</v>
      </c>
      <c r="E640" t="s">
        <v>23</v>
      </c>
      <c r="F640" t="s">
        <v>26</v>
      </c>
      <c r="G640" t="s">
        <v>28</v>
      </c>
    </row>
    <row r="641" spans="1:7" x14ac:dyDescent="0.25">
      <c r="A641" t="s">
        <v>119</v>
      </c>
      <c r="B641" s="2">
        <v>172</v>
      </c>
      <c r="C641" s="2">
        <v>-103</v>
      </c>
      <c r="D641" s="1">
        <v>3</v>
      </c>
      <c r="E641" t="s">
        <v>12</v>
      </c>
      <c r="F641" t="s">
        <v>13</v>
      </c>
      <c r="G641" t="s">
        <v>14</v>
      </c>
    </row>
    <row r="642" spans="1:7" x14ac:dyDescent="0.25">
      <c r="A642" t="s">
        <v>149</v>
      </c>
      <c r="B642" s="2">
        <v>116</v>
      </c>
      <c r="C642" s="2">
        <v>16</v>
      </c>
      <c r="D642" s="1">
        <v>4</v>
      </c>
      <c r="E642" t="s">
        <v>23</v>
      </c>
      <c r="F642" t="s">
        <v>57</v>
      </c>
      <c r="G642" t="s">
        <v>10</v>
      </c>
    </row>
    <row r="643" spans="1:7" x14ac:dyDescent="0.25">
      <c r="A643" t="s">
        <v>25</v>
      </c>
      <c r="B643" s="2">
        <v>116</v>
      </c>
      <c r="C643" s="2">
        <v>-4</v>
      </c>
      <c r="D643" s="1">
        <v>1</v>
      </c>
      <c r="E643" t="s">
        <v>23</v>
      </c>
      <c r="F643" t="s">
        <v>26</v>
      </c>
      <c r="G643" t="s">
        <v>10</v>
      </c>
    </row>
    <row r="644" spans="1:7" x14ac:dyDescent="0.25">
      <c r="A644" t="s">
        <v>362</v>
      </c>
      <c r="B644" s="2">
        <v>171</v>
      </c>
      <c r="C644" s="2">
        <v>68</v>
      </c>
      <c r="D644" s="1">
        <v>7</v>
      </c>
      <c r="E644" t="s">
        <v>23</v>
      </c>
      <c r="F644" t="s">
        <v>57</v>
      </c>
      <c r="G644" t="s">
        <v>14</v>
      </c>
    </row>
    <row r="645" spans="1:7" x14ac:dyDescent="0.25">
      <c r="A645" t="s">
        <v>128</v>
      </c>
      <c r="B645" s="2">
        <v>46</v>
      </c>
      <c r="C645" s="2">
        <v>14</v>
      </c>
      <c r="D645" s="1">
        <v>5</v>
      </c>
      <c r="E645" t="s">
        <v>23</v>
      </c>
      <c r="F645" t="s">
        <v>43</v>
      </c>
      <c r="G645" t="s">
        <v>10</v>
      </c>
    </row>
    <row r="646" spans="1:7" x14ac:dyDescent="0.25">
      <c r="A646" t="s">
        <v>99</v>
      </c>
      <c r="B646" s="2">
        <v>115</v>
      </c>
      <c r="C646" s="2">
        <v>-39</v>
      </c>
      <c r="D646" s="1">
        <v>3</v>
      </c>
      <c r="E646" t="s">
        <v>23</v>
      </c>
      <c r="F646" t="s">
        <v>24</v>
      </c>
      <c r="G646" t="s">
        <v>10</v>
      </c>
    </row>
    <row r="647" spans="1:7" x14ac:dyDescent="0.25">
      <c r="A647" t="s">
        <v>363</v>
      </c>
      <c r="B647" s="2">
        <v>100</v>
      </c>
      <c r="C647" s="2">
        <v>7</v>
      </c>
      <c r="D647" s="1">
        <v>2</v>
      </c>
      <c r="E647" t="s">
        <v>23</v>
      </c>
      <c r="F647" t="s">
        <v>81</v>
      </c>
      <c r="G647" t="s">
        <v>28</v>
      </c>
    </row>
    <row r="648" spans="1:7" x14ac:dyDescent="0.25">
      <c r="A648" t="s">
        <v>164</v>
      </c>
      <c r="B648" s="2">
        <v>44</v>
      </c>
      <c r="C648" s="2">
        <v>8</v>
      </c>
      <c r="D648" s="1">
        <v>2</v>
      </c>
      <c r="E648" t="s">
        <v>23</v>
      </c>
      <c r="F648" t="s">
        <v>57</v>
      </c>
      <c r="G648" t="s">
        <v>10</v>
      </c>
    </row>
    <row r="649" spans="1:7" x14ac:dyDescent="0.25">
      <c r="A649" t="s">
        <v>238</v>
      </c>
      <c r="B649" s="2">
        <v>139</v>
      </c>
      <c r="C649" s="2">
        <v>14</v>
      </c>
      <c r="D649" s="1">
        <v>3</v>
      </c>
      <c r="E649" t="s">
        <v>23</v>
      </c>
      <c r="F649" t="s">
        <v>32</v>
      </c>
      <c r="G649" t="s">
        <v>10</v>
      </c>
    </row>
    <row r="650" spans="1:7" x14ac:dyDescent="0.25">
      <c r="A650" t="s">
        <v>364</v>
      </c>
      <c r="B650" s="2">
        <v>171</v>
      </c>
      <c r="C650" s="2">
        <v>-140</v>
      </c>
      <c r="D650" s="1">
        <v>2</v>
      </c>
      <c r="E650" t="s">
        <v>12</v>
      </c>
      <c r="F650" t="s">
        <v>16</v>
      </c>
      <c r="G650" t="s">
        <v>14</v>
      </c>
    </row>
    <row r="651" spans="1:7" x14ac:dyDescent="0.25">
      <c r="A651" t="s">
        <v>365</v>
      </c>
      <c r="B651" s="2">
        <v>100</v>
      </c>
      <c r="C651" s="2">
        <v>12</v>
      </c>
      <c r="D651" s="1">
        <v>2</v>
      </c>
      <c r="E651" t="s">
        <v>23</v>
      </c>
      <c r="F651" t="s">
        <v>81</v>
      </c>
      <c r="G651" t="s">
        <v>28</v>
      </c>
    </row>
    <row r="652" spans="1:7" x14ac:dyDescent="0.25">
      <c r="A652" t="s">
        <v>349</v>
      </c>
      <c r="B652" s="2">
        <v>115</v>
      </c>
      <c r="C652" s="2">
        <v>25</v>
      </c>
      <c r="D652" s="1">
        <v>6</v>
      </c>
      <c r="E652" t="s">
        <v>23</v>
      </c>
      <c r="F652" t="s">
        <v>57</v>
      </c>
      <c r="G652" t="s">
        <v>10</v>
      </c>
    </row>
    <row r="653" spans="1:7" x14ac:dyDescent="0.25">
      <c r="A653" t="s">
        <v>25</v>
      </c>
      <c r="B653" s="2">
        <v>168</v>
      </c>
      <c r="C653" s="2">
        <v>-9</v>
      </c>
      <c r="D653" s="1">
        <v>3</v>
      </c>
      <c r="E653" t="s">
        <v>23</v>
      </c>
      <c r="F653" t="s">
        <v>26</v>
      </c>
      <c r="G653" t="s">
        <v>10</v>
      </c>
    </row>
    <row r="654" spans="1:7" x14ac:dyDescent="0.25">
      <c r="A654" t="s">
        <v>366</v>
      </c>
      <c r="B654" s="2">
        <v>115</v>
      </c>
      <c r="C654" s="2">
        <v>47</v>
      </c>
      <c r="D654" s="1">
        <v>2</v>
      </c>
      <c r="E654" t="s">
        <v>8</v>
      </c>
      <c r="F654" t="s">
        <v>73</v>
      </c>
      <c r="G654" t="s">
        <v>10</v>
      </c>
    </row>
    <row r="655" spans="1:7" x14ac:dyDescent="0.25">
      <c r="A655" t="s">
        <v>20</v>
      </c>
      <c r="B655" s="2">
        <v>168</v>
      </c>
      <c r="C655" s="2">
        <v>-111</v>
      </c>
      <c r="D655" s="1">
        <v>2</v>
      </c>
      <c r="E655" t="s">
        <v>8</v>
      </c>
      <c r="F655" t="s">
        <v>21</v>
      </c>
      <c r="G655" t="s">
        <v>14</v>
      </c>
    </row>
    <row r="656" spans="1:7" x14ac:dyDescent="0.25">
      <c r="A656" t="s">
        <v>367</v>
      </c>
      <c r="B656" s="2">
        <v>31</v>
      </c>
      <c r="C656" s="2">
        <v>-7</v>
      </c>
      <c r="D656" s="1">
        <v>5</v>
      </c>
      <c r="E656" t="s">
        <v>23</v>
      </c>
      <c r="F656" t="s">
        <v>43</v>
      </c>
      <c r="G656" t="s">
        <v>28</v>
      </c>
    </row>
    <row r="657" spans="1:7" x14ac:dyDescent="0.25">
      <c r="A657" t="s">
        <v>60</v>
      </c>
      <c r="B657" s="2">
        <v>114</v>
      </c>
      <c r="C657" s="2">
        <v>41</v>
      </c>
      <c r="D657" s="1">
        <v>6</v>
      </c>
      <c r="E657" t="s">
        <v>12</v>
      </c>
      <c r="F657" t="s">
        <v>131</v>
      </c>
      <c r="G657" t="s">
        <v>10</v>
      </c>
    </row>
    <row r="658" spans="1:7" x14ac:dyDescent="0.25">
      <c r="A658" t="s">
        <v>136</v>
      </c>
      <c r="B658" s="2">
        <v>111</v>
      </c>
      <c r="C658" s="2">
        <v>9</v>
      </c>
      <c r="D658" s="1">
        <v>4</v>
      </c>
      <c r="E658" t="s">
        <v>23</v>
      </c>
      <c r="F658" t="s">
        <v>57</v>
      </c>
      <c r="G658" t="s">
        <v>10</v>
      </c>
    </row>
    <row r="659" spans="1:7" x14ac:dyDescent="0.25">
      <c r="A659" t="s">
        <v>368</v>
      </c>
      <c r="B659" s="2">
        <v>11</v>
      </c>
      <c r="C659" s="2">
        <v>-8</v>
      </c>
      <c r="D659" s="1">
        <v>2</v>
      </c>
      <c r="E659" t="s">
        <v>23</v>
      </c>
      <c r="F659" t="s">
        <v>43</v>
      </c>
      <c r="G659" t="s">
        <v>28</v>
      </c>
    </row>
    <row r="660" spans="1:7" x14ac:dyDescent="0.25">
      <c r="A660" t="s">
        <v>249</v>
      </c>
      <c r="B660" s="2">
        <v>110</v>
      </c>
      <c r="C660" s="2">
        <v>35</v>
      </c>
      <c r="D660" s="1">
        <v>1</v>
      </c>
      <c r="E660" t="s">
        <v>12</v>
      </c>
      <c r="F660" t="s">
        <v>131</v>
      </c>
      <c r="G660" t="s">
        <v>10</v>
      </c>
    </row>
    <row r="661" spans="1:7" x14ac:dyDescent="0.25">
      <c r="A661" t="s">
        <v>128</v>
      </c>
      <c r="B661" s="2">
        <v>59</v>
      </c>
      <c r="C661" s="2">
        <v>15</v>
      </c>
      <c r="D661" s="1">
        <v>2</v>
      </c>
      <c r="E661" t="s">
        <v>23</v>
      </c>
      <c r="F661" t="s">
        <v>81</v>
      </c>
      <c r="G661" t="s">
        <v>28</v>
      </c>
    </row>
    <row r="662" spans="1:7" x14ac:dyDescent="0.25">
      <c r="A662" t="s">
        <v>230</v>
      </c>
      <c r="B662" s="2">
        <v>166</v>
      </c>
      <c r="C662" s="2">
        <v>27</v>
      </c>
      <c r="D662" s="1">
        <v>2</v>
      </c>
      <c r="E662" t="s">
        <v>8</v>
      </c>
      <c r="F662" t="s">
        <v>73</v>
      </c>
      <c r="G662" t="s">
        <v>14</v>
      </c>
    </row>
    <row r="663" spans="1:7" x14ac:dyDescent="0.25">
      <c r="A663" t="s">
        <v>52</v>
      </c>
      <c r="B663" s="2">
        <v>109</v>
      </c>
      <c r="C663" s="2">
        <v>-6</v>
      </c>
      <c r="D663" s="1">
        <v>6</v>
      </c>
      <c r="E663" t="s">
        <v>23</v>
      </c>
      <c r="F663" t="s">
        <v>26</v>
      </c>
      <c r="G663" t="s">
        <v>10</v>
      </c>
    </row>
    <row r="664" spans="1:7" x14ac:dyDescent="0.25">
      <c r="A664" t="s">
        <v>308</v>
      </c>
      <c r="B664" s="2">
        <v>34</v>
      </c>
      <c r="C664" s="2">
        <v>-6</v>
      </c>
      <c r="D664" s="1">
        <v>4</v>
      </c>
      <c r="E664" t="s">
        <v>23</v>
      </c>
      <c r="F664" t="s">
        <v>63</v>
      </c>
      <c r="G664" t="s">
        <v>10</v>
      </c>
    </row>
    <row r="665" spans="1:7" x14ac:dyDescent="0.25">
      <c r="A665" t="s">
        <v>292</v>
      </c>
      <c r="B665" s="2">
        <v>109</v>
      </c>
      <c r="C665" s="2">
        <v>40</v>
      </c>
      <c r="D665" s="1">
        <v>1</v>
      </c>
      <c r="E665" t="s">
        <v>12</v>
      </c>
      <c r="F665" t="s">
        <v>131</v>
      </c>
      <c r="G665" t="s">
        <v>10</v>
      </c>
    </row>
    <row r="666" spans="1:7" x14ac:dyDescent="0.25">
      <c r="A666" t="s">
        <v>71</v>
      </c>
      <c r="B666" s="2">
        <v>108</v>
      </c>
      <c r="C666" s="2">
        <v>22</v>
      </c>
      <c r="D666" s="1">
        <v>3</v>
      </c>
      <c r="E666" t="s">
        <v>8</v>
      </c>
      <c r="F666" t="s">
        <v>73</v>
      </c>
      <c r="G666" t="s">
        <v>10</v>
      </c>
    </row>
    <row r="667" spans="1:7" x14ac:dyDescent="0.25">
      <c r="A667" t="s">
        <v>310</v>
      </c>
      <c r="B667" s="2">
        <v>103</v>
      </c>
      <c r="C667" s="2">
        <v>50</v>
      </c>
      <c r="D667" s="1">
        <v>2</v>
      </c>
      <c r="E667" t="s">
        <v>12</v>
      </c>
      <c r="F667" t="s">
        <v>131</v>
      </c>
      <c r="G667" t="s">
        <v>28</v>
      </c>
    </row>
    <row r="668" spans="1:7" x14ac:dyDescent="0.25">
      <c r="A668" t="s">
        <v>210</v>
      </c>
      <c r="B668" s="2">
        <v>10</v>
      </c>
      <c r="C668" s="2">
        <v>-8</v>
      </c>
      <c r="D668" s="1">
        <v>2</v>
      </c>
      <c r="E668" t="s">
        <v>23</v>
      </c>
      <c r="F668" t="s">
        <v>43</v>
      </c>
      <c r="G668" t="s">
        <v>10</v>
      </c>
    </row>
    <row r="669" spans="1:7" x14ac:dyDescent="0.25">
      <c r="A669" t="s">
        <v>171</v>
      </c>
      <c r="B669" s="2">
        <v>90</v>
      </c>
      <c r="C669" s="2">
        <v>17</v>
      </c>
      <c r="D669" s="1">
        <v>3</v>
      </c>
      <c r="E669" t="s">
        <v>23</v>
      </c>
      <c r="F669" t="s">
        <v>30</v>
      </c>
      <c r="G669" t="s">
        <v>10</v>
      </c>
    </row>
    <row r="670" spans="1:7" x14ac:dyDescent="0.25">
      <c r="A670" t="s">
        <v>205</v>
      </c>
      <c r="B670" s="2">
        <v>105</v>
      </c>
      <c r="C670" s="2">
        <v>46</v>
      </c>
      <c r="D670" s="1">
        <v>2</v>
      </c>
      <c r="E670" t="s">
        <v>23</v>
      </c>
      <c r="F670" t="s">
        <v>57</v>
      </c>
      <c r="G670" t="s">
        <v>28</v>
      </c>
    </row>
    <row r="671" spans="1:7" x14ac:dyDescent="0.25">
      <c r="A671" t="s">
        <v>336</v>
      </c>
      <c r="B671" s="2">
        <v>105</v>
      </c>
      <c r="C671" s="2">
        <v>20</v>
      </c>
      <c r="D671" s="1">
        <v>2</v>
      </c>
      <c r="E671" t="s">
        <v>23</v>
      </c>
      <c r="F671" t="s">
        <v>57</v>
      </c>
      <c r="G671" t="s">
        <v>82</v>
      </c>
    </row>
    <row r="672" spans="1:7" x14ac:dyDescent="0.25">
      <c r="A672" t="s">
        <v>369</v>
      </c>
      <c r="B672" s="2">
        <v>22</v>
      </c>
      <c r="C672" s="2">
        <v>-6</v>
      </c>
      <c r="D672" s="1">
        <v>1</v>
      </c>
      <c r="E672" t="s">
        <v>12</v>
      </c>
      <c r="F672" t="s">
        <v>131</v>
      </c>
      <c r="G672" t="s">
        <v>10</v>
      </c>
    </row>
    <row r="673" spans="1:7" x14ac:dyDescent="0.25">
      <c r="A673" t="s">
        <v>113</v>
      </c>
      <c r="B673" s="2">
        <v>105</v>
      </c>
      <c r="C673" s="2">
        <v>-33</v>
      </c>
      <c r="D673" s="1">
        <v>5</v>
      </c>
      <c r="E673" t="s">
        <v>23</v>
      </c>
      <c r="F673" t="s">
        <v>32</v>
      </c>
      <c r="G673" t="s">
        <v>10</v>
      </c>
    </row>
    <row r="674" spans="1:7" x14ac:dyDescent="0.25">
      <c r="A674" t="s">
        <v>370</v>
      </c>
      <c r="B674" s="2">
        <v>105</v>
      </c>
      <c r="C674" s="2">
        <v>25</v>
      </c>
      <c r="D674" s="1">
        <v>2</v>
      </c>
      <c r="E674" t="s">
        <v>23</v>
      </c>
      <c r="F674" t="s">
        <v>30</v>
      </c>
      <c r="G674" t="s">
        <v>14</v>
      </c>
    </row>
    <row r="675" spans="1:7" x14ac:dyDescent="0.25">
      <c r="A675" t="s">
        <v>371</v>
      </c>
      <c r="B675" s="2">
        <v>25</v>
      </c>
      <c r="C675" s="2">
        <v>-7</v>
      </c>
      <c r="D675" s="1">
        <v>5</v>
      </c>
      <c r="E675" t="s">
        <v>23</v>
      </c>
      <c r="F675" t="s">
        <v>26</v>
      </c>
      <c r="G675" t="s">
        <v>28</v>
      </c>
    </row>
    <row r="676" spans="1:7" x14ac:dyDescent="0.25">
      <c r="A676" t="s">
        <v>310</v>
      </c>
      <c r="B676" s="2">
        <v>104</v>
      </c>
      <c r="C676" s="2">
        <v>2</v>
      </c>
      <c r="D676" s="1">
        <v>2</v>
      </c>
      <c r="E676" t="s">
        <v>12</v>
      </c>
      <c r="F676" t="s">
        <v>131</v>
      </c>
      <c r="G676" t="s">
        <v>10</v>
      </c>
    </row>
    <row r="677" spans="1:7" x14ac:dyDescent="0.25">
      <c r="A677" t="s">
        <v>372</v>
      </c>
      <c r="B677" s="2">
        <v>16</v>
      </c>
      <c r="C677" s="2">
        <v>5</v>
      </c>
      <c r="D677" s="1">
        <v>1</v>
      </c>
      <c r="E677" t="s">
        <v>23</v>
      </c>
      <c r="F677" t="s">
        <v>57</v>
      </c>
      <c r="G677" t="s">
        <v>28</v>
      </c>
    </row>
    <row r="678" spans="1:7" x14ac:dyDescent="0.25">
      <c r="A678" t="s">
        <v>215</v>
      </c>
      <c r="B678" s="2">
        <v>64</v>
      </c>
      <c r="C678" s="2">
        <v>-7</v>
      </c>
      <c r="D678" s="1">
        <v>3</v>
      </c>
      <c r="E678" t="s">
        <v>23</v>
      </c>
      <c r="F678" t="s">
        <v>26</v>
      </c>
      <c r="G678" t="s">
        <v>10</v>
      </c>
    </row>
    <row r="679" spans="1:7" x14ac:dyDescent="0.25">
      <c r="A679" t="s">
        <v>373</v>
      </c>
      <c r="B679" s="2">
        <v>38</v>
      </c>
      <c r="C679" s="2">
        <v>-6</v>
      </c>
      <c r="D679" s="1">
        <v>2</v>
      </c>
      <c r="E679" t="s">
        <v>12</v>
      </c>
      <c r="F679" t="s">
        <v>131</v>
      </c>
      <c r="G679" t="s">
        <v>28</v>
      </c>
    </row>
    <row r="680" spans="1:7" x14ac:dyDescent="0.25">
      <c r="A680" t="s">
        <v>374</v>
      </c>
      <c r="B680" s="2">
        <v>83</v>
      </c>
      <c r="C680" s="2">
        <v>12</v>
      </c>
      <c r="D680" s="1">
        <v>2</v>
      </c>
      <c r="E680" t="s">
        <v>12</v>
      </c>
      <c r="F680" t="s">
        <v>13</v>
      </c>
      <c r="G680" t="s">
        <v>10</v>
      </c>
    </row>
    <row r="681" spans="1:7" x14ac:dyDescent="0.25">
      <c r="A681" t="s">
        <v>191</v>
      </c>
      <c r="B681" s="2">
        <v>103</v>
      </c>
      <c r="C681" s="2">
        <v>36</v>
      </c>
      <c r="D681" s="1">
        <v>2</v>
      </c>
      <c r="E681" t="s">
        <v>23</v>
      </c>
      <c r="F681" t="s">
        <v>30</v>
      </c>
      <c r="G681" t="s">
        <v>10</v>
      </c>
    </row>
    <row r="682" spans="1:7" x14ac:dyDescent="0.25">
      <c r="A682" t="s">
        <v>163</v>
      </c>
      <c r="B682" s="2">
        <v>37</v>
      </c>
      <c r="C682" s="2">
        <v>-6</v>
      </c>
      <c r="D682" s="1">
        <v>1</v>
      </c>
      <c r="E682" t="s">
        <v>23</v>
      </c>
      <c r="F682" t="s">
        <v>26</v>
      </c>
      <c r="G682" t="s">
        <v>28</v>
      </c>
    </row>
    <row r="683" spans="1:7" x14ac:dyDescent="0.25">
      <c r="A683" t="s">
        <v>375</v>
      </c>
      <c r="B683" s="2">
        <v>105</v>
      </c>
      <c r="C683" s="2">
        <v>33</v>
      </c>
      <c r="D683" s="1">
        <v>6</v>
      </c>
      <c r="E683" t="s">
        <v>23</v>
      </c>
      <c r="F683" t="s">
        <v>26</v>
      </c>
      <c r="G683" t="s">
        <v>14</v>
      </c>
    </row>
    <row r="684" spans="1:7" x14ac:dyDescent="0.25">
      <c r="A684" t="s">
        <v>141</v>
      </c>
      <c r="B684" s="2">
        <v>78</v>
      </c>
      <c r="C684" s="2">
        <v>-6</v>
      </c>
      <c r="D684" s="1">
        <v>2</v>
      </c>
      <c r="E684" t="s">
        <v>12</v>
      </c>
      <c r="F684" t="s">
        <v>131</v>
      </c>
      <c r="G684" t="s">
        <v>28</v>
      </c>
    </row>
    <row r="685" spans="1:7" x14ac:dyDescent="0.25">
      <c r="A685" t="s">
        <v>37</v>
      </c>
      <c r="B685" s="2">
        <v>102</v>
      </c>
      <c r="C685" s="2">
        <v>-90</v>
      </c>
      <c r="D685" s="1">
        <v>1</v>
      </c>
      <c r="E685" t="s">
        <v>23</v>
      </c>
      <c r="F685" t="s">
        <v>26</v>
      </c>
      <c r="G685" t="s">
        <v>10</v>
      </c>
    </row>
    <row r="686" spans="1:7" x14ac:dyDescent="0.25">
      <c r="A686" t="s">
        <v>376</v>
      </c>
      <c r="B686" s="2">
        <v>102</v>
      </c>
      <c r="C686" s="2">
        <v>11</v>
      </c>
      <c r="D686" s="1">
        <v>6</v>
      </c>
      <c r="E686" t="s">
        <v>23</v>
      </c>
      <c r="F686" t="s">
        <v>81</v>
      </c>
      <c r="G686" t="s">
        <v>10</v>
      </c>
    </row>
    <row r="687" spans="1:7" x14ac:dyDescent="0.25">
      <c r="A687" t="s">
        <v>262</v>
      </c>
      <c r="B687" s="2">
        <v>10</v>
      </c>
      <c r="C687" s="2">
        <v>-8</v>
      </c>
      <c r="D687" s="1">
        <v>1</v>
      </c>
      <c r="E687" t="s">
        <v>23</v>
      </c>
      <c r="F687" t="s">
        <v>32</v>
      </c>
      <c r="G687" t="s">
        <v>28</v>
      </c>
    </row>
    <row r="688" spans="1:7" x14ac:dyDescent="0.25">
      <c r="A688" t="s">
        <v>123</v>
      </c>
      <c r="B688" s="2">
        <v>101</v>
      </c>
      <c r="C688" s="2">
        <v>18</v>
      </c>
      <c r="D688" s="1">
        <v>9</v>
      </c>
      <c r="E688" t="s">
        <v>23</v>
      </c>
      <c r="F688" t="s">
        <v>43</v>
      </c>
      <c r="G688" t="s">
        <v>10</v>
      </c>
    </row>
    <row r="689" spans="1:7" x14ac:dyDescent="0.25">
      <c r="A689" t="s">
        <v>377</v>
      </c>
      <c r="B689" s="2">
        <v>42</v>
      </c>
      <c r="C689" s="2">
        <v>-6</v>
      </c>
      <c r="D689" s="1">
        <v>4</v>
      </c>
      <c r="E689" t="s">
        <v>23</v>
      </c>
      <c r="F689" t="s">
        <v>26</v>
      </c>
      <c r="G689" t="s">
        <v>28</v>
      </c>
    </row>
    <row r="690" spans="1:7" x14ac:dyDescent="0.25">
      <c r="A690" t="s">
        <v>271</v>
      </c>
      <c r="B690" s="2">
        <v>56</v>
      </c>
      <c r="C690" s="2">
        <v>18</v>
      </c>
      <c r="D690" s="1">
        <v>2</v>
      </c>
      <c r="E690" t="s">
        <v>23</v>
      </c>
      <c r="F690" t="s">
        <v>30</v>
      </c>
      <c r="G690" t="s">
        <v>28</v>
      </c>
    </row>
    <row r="691" spans="1:7" x14ac:dyDescent="0.25">
      <c r="A691" t="s">
        <v>371</v>
      </c>
      <c r="B691" s="2">
        <v>95</v>
      </c>
      <c r="C691" s="2">
        <v>5</v>
      </c>
      <c r="D691" s="1">
        <v>2</v>
      </c>
      <c r="E691" t="s">
        <v>23</v>
      </c>
      <c r="F691" t="s">
        <v>57</v>
      </c>
      <c r="G691" t="s">
        <v>10</v>
      </c>
    </row>
    <row r="692" spans="1:7" x14ac:dyDescent="0.25">
      <c r="A692" t="s">
        <v>378</v>
      </c>
      <c r="B692" s="2">
        <v>159</v>
      </c>
      <c r="C692" s="2">
        <v>2</v>
      </c>
      <c r="D692" s="1">
        <v>3</v>
      </c>
      <c r="E692" t="s">
        <v>12</v>
      </c>
      <c r="F692" t="s">
        <v>131</v>
      </c>
      <c r="G692" t="s">
        <v>14</v>
      </c>
    </row>
    <row r="693" spans="1:7" x14ac:dyDescent="0.25">
      <c r="A693" t="s">
        <v>336</v>
      </c>
      <c r="B693" s="2">
        <v>158</v>
      </c>
      <c r="C693" s="2">
        <v>69</v>
      </c>
      <c r="D693" s="1">
        <v>3</v>
      </c>
      <c r="E693" t="s">
        <v>23</v>
      </c>
      <c r="F693" t="s">
        <v>57</v>
      </c>
      <c r="G693" t="s">
        <v>14</v>
      </c>
    </row>
    <row r="694" spans="1:7" x14ac:dyDescent="0.25">
      <c r="A694" t="s">
        <v>262</v>
      </c>
      <c r="B694" s="2">
        <v>106</v>
      </c>
      <c r="C694" s="2">
        <v>0</v>
      </c>
      <c r="D694" s="1">
        <v>2</v>
      </c>
      <c r="E694" t="s">
        <v>8</v>
      </c>
      <c r="F694" t="s">
        <v>21</v>
      </c>
      <c r="G694" t="s">
        <v>14</v>
      </c>
    </row>
    <row r="695" spans="1:7" x14ac:dyDescent="0.25">
      <c r="A695" t="s">
        <v>122</v>
      </c>
      <c r="B695" s="2">
        <v>101</v>
      </c>
      <c r="C695" s="2">
        <v>16</v>
      </c>
      <c r="D695" s="1">
        <v>4</v>
      </c>
      <c r="E695" t="s">
        <v>23</v>
      </c>
      <c r="F695" t="s">
        <v>81</v>
      </c>
      <c r="G695" t="s">
        <v>10</v>
      </c>
    </row>
    <row r="696" spans="1:7" x14ac:dyDescent="0.25">
      <c r="A696" t="s">
        <v>184</v>
      </c>
      <c r="B696" s="2">
        <v>107</v>
      </c>
      <c r="C696" s="2">
        <v>37</v>
      </c>
      <c r="D696" s="1">
        <v>3</v>
      </c>
      <c r="E696" t="s">
        <v>23</v>
      </c>
      <c r="F696" t="s">
        <v>142</v>
      </c>
      <c r="G696" t="s">
        <v>10</v>
      </c>
    </row>
    <row r="697" spans="1:7" x14ac:dyDescent="0.25">
      <c r="A697" t="s">
        <v>379</v>
      </c>
      <c r="B697" s="2">
        <v>156</v>
      </c>
      <c r="C697" s="2">
        <v>36</v>
      </c>
      <c r="D697" s="1">
        <v>5</v>
      </c>
      <c r="E697" t="s">
        <v>23</v>
      </c>
      <c r="F697" t="s">
        <v>81</v>
      </c>
      <c r="G697" t="s">
        <v>14</v>
      </c>
    </row>
    <row r="698" spans="1:7" x14ac:dyDescent="0.25">
      <c r="A698" t="s">
        <v>380</v>
      </c>
      <c r="B698" s="2">
        <v>108</v>
      </c>
      <c r="C698" s="2">
        <v>-19</v>
      </c>
      <c r="D698" s="1">
        <v>3</v>
      </c>
      <c r="E698" t="s">
        <v>8</v>
      </c>
      <c r="F698" t="s">
        <v>9</v>
      </c>
      <c r="G698" t="s">
        <v>28</v>
      </c>
    </row>
    <row r="699" spans="1:7" x14ac:dyDescent="0.25">
      <c r="A699" t="s">
        <v>265</v>
      </c>
      <c r="B699" s="2">
        <v>107</v>
      </c>
      <c r="C699" s="2">
        <v>-54</v>
      </c>
      <c r="D699" s="1">
        <v>4</v>
      </c>
      <c r="E699" t="s">
        <v>23</v>
      </c>
      <c r="F699" t="s">
        <v>57</v>
      </c>
      <c r="G699" t="s">
        <v>14</v>
      </c>
    </row>
    <row r="700" spans="1:7" x14ac:dyDescent="0.25">
      <c r="A700" t="s">
        <v>381</v>
      </c>
      <c r="B700" s="2">
        <v>100</v>
      </c>
      <c r="C700" s="2">
        <v>-58</v>
      </c>
      <c r="D700" s="1">
        <v>4</v>
      </c>
      <c r="E700" t="s">
        <v>23</v>
      </c>
      <c r="F700" t="s">
        <v>30</v>
      </c>
      <c r="G700" t="s">
        <v>10</v>
      </c>
    </row>
    <row r="701" spans="1:7" x14ac:dyDescent="0.25">
      <c r="A701" t="s">
        <v>281</v>
      </c>
      <c r="B701" s="2">
        <v>108</v>
      </c>
      <c r="C701" s="2">
        <v>26</v>
      </c>
      <c r="D701" s="1">
        <v>4</v>
      </c>
      <c r="E701" t="s">
        <v>23</v>
      </c>
      <c r="F701" t="s">
        <v>142</v>
      </c>
      <c r="G701" t="s">
        <v>28</v>
      </c>
    </row>
    <row r="702" spans="1:7" x14ac:dyDescent="0.25">
      <c r="A702" t="s">
        <v>382</v>
      </c>
      <c r="B702" s="2">
        <v>100</v>
      </c>
      <c r="C702" s="2">
        <v>6</v>
      </c>
      <c r="D702" s="1">
        <v>4</v>
      </c>
      <c r="E702" t="s">
        <v>23</v>
      </c>
      <c r="F702" t="s">
        <v>57</v>
      </c>
      <c r="G702" t="s">
        <v>10</v>
      </c>
    </row>
    <row r="703" spans="1:7" x14ac:dyDescent="0.25">
      <c r="A703" t="s">
        <v>218</v>
      </c>
      <c r="B703" s="2">
        <v>100</v>
      </c>
      <c r="C703" s="2">
        <v>-23</v>
      </c>
      <c r="D703" s="1">
        <v>1</v>
      </c>
      <c r="E703" t="s">
        <v>8</v>
      </c>
      <c r="F703" t="s">
        <v>21</v>
      </c>
      <c r="G703" t="s">
        <v>10</v>
      </c>
    </row>
    <row r="704" spans="1:7" x14ac:dyDescent="0.25">
      <c r="A704" t="s">
        <v>126</v>
      </c>
      <c r="B704" s="2">
        <v>43</v>
      </c>
      <c r="C704" s="2">
        <v>17</v>
      </c>
      <c r="D704" s="1">
        <v>2</v>
      </c>
      <c r="E704" t="s">
        <v>23</v>
      </c>
      <c r="F704" t="s">
        <v>81</v>
      </c>
      <c r="G704" t="s">
        <v>28</v>
      </c>
    </row>
    <row r="705" spans="1:7" x14ac:dyDescent="0.25">
      <c r="A705" t="s">
        <v>199</v>
      </c>
      <c r="B705" s="2">
        <v>155</v>
      </c>
      <c r="C705" s="2">
        <v>26</v>
      </c>
      <c r="D705" s="1">
        <v>3</v>
      </c>
      <c r="E705" t="s">
        <v>23</v>
      </c>
      <c r="F705" t="s">
        <v>57</v>
      </c>
      <c r="G705" t="s">
        <v>14</v>
      </c>
    </row>
    <row r="706" spans="1:7" x14ac:dyDescent="0.25">
      <c r="A706" t="s">
        <v>383</v>
      </c>
      <c r="B706" s="2">
        <v>151</v>
      </c>
      <c r="C706" s="2">
        <v>9</v>
      </c>
      <c r="D706" s="1">
        <v>3</v>
      </c>
      <c r="E706" t="s">
        <v>23</v>
      </c>
      <c r="F706" t="s">
        <v>30</v>
      </c>
      <c r="G706" t="s">
        <v>14</v>
      </c>
    </row>
    <row r="707" spans="1:7" x14ac:dyDescent="0.25">
      <c r="A707" t="s">
        <v>165</v>
      </c>
      <c r="B707" s="2">
        <v>151</v>
      </c>
      <c r="C707" s="2">
        <v>29</v>
      </c>
      <c r="D707" s="1">
        <v>5</v>
      </c>
      <c r="E707" t="s">
        <v>23</v>
      </c>
      <c r="F707" t="s">
        <v>30</v>
      </c>
      <c r="G707" t="s">
        <v>14</v>
      </c>
    </row>
    <row r="708" spans="1:7" x14ac:dyDescent="0.25">
      <c r="A708" t="s">
        <v>38</v>
      </c>
      <c r="B708" s="2">
        <v>110</v>
      </c>
      <c r="C708" s="2">
        <v>-68</v>
      </c>
      <c r="D708" s="1">
        <v>4</v>
      </c>
      <c r="E708" t="s">
        <v>23</v>
      </c>
      <c r="F708" t="s">
        <v>26</v>
      </c>
      <c r="G708" t="s">
        <v>14</v>
      </c>
    </row>
    <row r="709" spans="1:7" x14ac:dyDescent="0.25">
      <c r="A709" t="s">
        <v>104</v>
      </c>
      <c r="B709" s="2">
        <v>98</v>
      </c>
      <c r="C709" s="2">
        <v>9</v>
      </c>
      <c r="D709" s="1">
        <v>2</v>
      </c>
      <c r="E709" t="s">
        <v>12</v>
      </c>
      <c r="F709" t="s">
        <v>131</v>
      </c>
      <c r="G709" t="s">
        <v>10</v>
      </c>
    </row>
    <row r="710" spans="1:7" x14ac:dyDescent="0.25">
      <c r="A710" t="s">
        <v>38</v>
      </c>
      <c r="B710" s="2">
        <v>97</v>
      </c>
      <c r="C710" s="2">
        <v>-62</v>
      </c>
      <c r="D710" s="1">
        <v>2</v>
      </c>
      <c r="E710" t="s">
        <v>23</v>
      </c>
      <c r="F710" t="s">
        <v>24</v>
      </c>
      <c r="G710" t="s">
        <v>10</v>
      </c>
    </row>
    <row r="711" spans="1:7" x14ac:dyDescent="0.25">
      <c r="A711" t="s">
        <v>124</v>
      </c>
      <c r="B711" s="2">
        <v>111</v>
      </c>
      <c r="C711" s="2">
        <v>35</v>
      </c>
      <c r="D711" s="1">
        <v>5</v>
      </c>
      <c r="E711" t="s">
        <v>23</v>
      </c>
      <c r="F711" t="s">
        <v>142</v>
      </c>
      <c r="G711" t="s">
        <v>10</v>
      </c>
    </row>
    <row r="712" spans="1:7" x14ac:dyDescent="0.25">
      <c r="A712" t="s">
        <v>297</v>
      </c>
      <c r="B712" s="2">
        <v>45</v>
      </c>
      <c r="C712" s="2">
        <v>17</v>
      </c>
      <c r="D712" s="1">
        <v>1</v>
      </c>
      <c r="E712" t="s">
        <v>8</v>
      </c>
      <c r="F712" t="s">
        <v>73</v>
      </c>
      <c r="G712" t="s">
        <v>10</v>
      </c>
    </row>
    <row r="713" spans="1:7" x14ac:dyDescent="0.25">
      <c r="A713" t="s">
        <v>384</v>
      </c>
      <c r="B713" s="2">
        <v>112</v>
      </c>
      <c r="C713" s="2">
        <v>15</v>
      </c>
      <c r="D713" s="1">
        <v>2</v>
      </c>
      <c r="E713" t="s">
        <v>12</v>
      </c>
      <c r="F713" t="s">
        <v>13</v>
      </c>
      <c r="G713" t="s">
        <v>10</v>
      </c>
    </row>
    <row r="714" spans="1:7" x14ac:dyDescent="0.25">
      <c r="A714" t="s">
        <v>15</v>
      </c>
      <c r="B714" s="2">
        <v>110</v>
      </c>
      <c r="C714" s="2">
        <v>20</v>
      </c>
      <c r="D714" s="1">
        <v>5</v>
      </c>
      <c r="E714" t="s">
        <v>23</v>
      </c>
      <c r="F714" t="s">
        <v>57</v>
      </c>
      <c r="G714" t="s">
        <v>82</v>
      </c>
    </row>
    <row r="715" spans="1:7" x14ac:dyDescent="0.25">
      <c r="A715" t="s">
        <v>91</v>
      </c>
      <c r="B715" s="2">
        <v>98</v>
      </c>
      <c r="C715" s="2">
        <v>-5</v>
      </c>
      <c r="D715" s="1">
        <v>2</v>
      </c>
      <c r="E715" t="s">
        <v>23</v>
      </c>
      <c r="F715" t="s">
        <v>26</v>
      </c>
      <c r="G715" t="s">
        <v>28</v>
      </c>
    </row>
    <row r="716" spans="1:7" x14ac:dyDescent="0.25">
      <c r="A716" t="s">
        <v>385</v>
      </c>
      <c r="B716" s="2">
        <v>110</v>
      </c>
      <c r="C716" s="2">
        <v>12</v>
      </c>
      <c r="D716" s="1">
        <v>7</v>
      </c>
      <c r="E716" t="s">
        <v>23</v>
      </c>
      <c r="F716" t="s">
        <v>57</v>
      </c>
      <c r="G716" t="s">
        <v>82</v>
      </c>
    </row>
    <row r="717" spans="1:7" x14ac:dyDescent="0.25">
      <c r="A717" t="s">
        <v>41</v>
      </c>
      <c r="B717" s="2">
        <v>95</v>
      </c>
      <c r="C717" s="2">
        <v>11</v>
      </c>
      <c r="D717" s="1">
        <v>4</v>
      </c>
      <c r="E717" t="s">
        <v>12</v>
      </c>
      <c r="F717" t="s">
        <v>131</v>
      </c>
      <c r="G717" t="s">
        <v>10</v>
      </c>
    </row>
    <row r="718" spans="1:7" x14ac:dyDescent="0.25">
      <c r="A718" t="s">
        <v>216</v>
      </c>
      <c r="B718" s="2">
        <v>1228</v>
      </c>
      <c r="C718" s="2">
        <v>14</v>
      </c>
      <c r="D718" s="1">
        <v>3</v>
      </c>
      <c r="E718" t="s">
        <v>12</v>
      </c>
      <c r="F718" t="s">
        <v>13</v>
      </c>
      <c r="G718" t="s">
        <v>28</v>
      </c>
    </row>
    <row r="719" spans="1:7" x14ac:dyDescent="0.25">
      <c r="A719" t="s">
        <v>285</v>
      </c>
      <c r="B719" s="2">
        <v>29</v>
      </c>
      <c r="C719" s="2">
        <v>0</v>
      </c>
      <c r="D719" s="1">
        <v>3</v>
      </c>
      <c r="E719" t="s">
        <v>12</v>
      </c>
      <c r="F719" t="s">
        <v>131</v>
      </c>
      <c r="G719" t="s">
        <v>10</v>
      </c>
    </row>
    <row r="720" spans="1:7" x14ac:dyDescent="0.25">
      <c r="A720" t="s">
        <v>11</v>
      </c>
      <c r="B720" s="2">
        <v>94</v>
      </c>
      <c r="C720" s="2">
        <v>27</v>
      </c>
      <c r="D720" s="1">
        <v>2</v>
      </c>
      <c r="E720" t="s">
        <v>23</v>
      </c>
      <c r="F720" t="s">
        <v>81</v>
      </c>
      <c r="G720" t="s">
        <v>10</v>
      </c>
    </row>
    <row r="721" spans="1:7" x14ac:dyDescent="0.25">
      <c r="A721" t="s">
        <v>117</v>
      </c>
      <c r="B721" s="2">
        <v>115</v>
      </c>
      <c r="C721" s="2">
        <v>25</v>
      </c>
      <c r="D721" s="1">
        <v>1</v>
      </c>
      <c r="E721" t="s">
        <v>8</v>
      </c>
      <c r="F721" t="s">
        <v>73</v>
      </c>
      <c r="G721" t="s">
        <v>10</v>
      </c>
    </row>
    <row r="722" spans="1:7" x14ac:dyDescent="0.25">
      <c r="A722" t="s">
        <v>202</v>
      </c>
      <c r="B722" s="2">
        <v>149</v>
      </c>
      <c r="C722" s="2">
        <v>15</v>
      </c>
      <c r="D722" s="1">
        <v>3</v>
      </c>
      <c r="E722" t="s">
        <v>23</v>
      </c>
      <c r="F722" t="s">
        <v>26</v>
      </c>
      <c r="G722" t="s">
        <v>14</v>
      </c>
    </row>
    <row r="723" spans="1:7" x14ac:dyDescent="0.25">
      <c r="A723" t="s">
        <v>122</v>
      </c>
      <c r="B723" s="2">
        <v>148</v>
      </c>
      <c r="C723" s="2">
        <v>23</v>
      </c>
      <c r="D723" s="1">
        <v>4</v>
      </c>
      <c r="E723" t="s">
        <v>23</v>
      </c>
      <c r="F723" t="s">
        <v>32</v>
      </c>
      <c r="G723" t="s">
        <v>14</v>
      </c>
    </row>
    <row r="724" spans="1:7" x14ac:dyDescent="0.25">
      <c r="A724" t="s">
        <v>50</v>
      </c>
      <c r="B724" s="2">
        <v>93</v>
      </c>
      <c r="C724" s="2">
        <v>15</v>
      </c>
      <c r="D724" s="1">
        <v>2</v>
      </c>
      <c r="E724" t="s">
        <v>8</v>
      </c>
      <c r="F724" t="s">
        <v>73</v>
      </c>
      <c r="G724" t="s">
        <v>10</v>
      </c>
    </row>
    <row r="725" spans="1:7" x14ac:dyDescent="0.25">
      <c r="A725" t="s">
        <v>361</v>
      </c>
      <c r="B725" s="2">
        <v>113</v>
      </c>
      <c r="C725" s="2">
        <v>24</v>
      </c>
      <c r="D725" s="1">
        <v>4</v>
      </c>
      <c r="E725" t="s">
        <v>23</v>
      </c>
      <c r="F725" t="s">
        <v>30</v>
      </c>
      <c r="G725" t="s">
        <v>82</v>
      </c>
    </row>
    <row r="726" spans="1:7" x14ac:dyDescent="0.25">
      <c r="A726" t="s">
        <v>264</v>
      </c>
      <c r="B726" s="2">
        <v>48</v>
      </c>
      <c r="C726" s="2">
        <v>2</v>
      </c>
      <c r="D726" s="1">
        <v>3</v>
      </c>
      <c r="E726" t="s">
        <v>23</v>
      </c>
      <c r="F726" t="s">
        <v>57</v>
      </c>
      <c r="G726" t="s">
        <v>10</v>
      </c>
    </row>
    <row r="727" spans="1:7" x14ac:dyDescent="0.25">
      <c r="A727" t="s">
        <v>328</v>
      </c>
      <c r="B727" s="2">
        <v>148</v>
      </c>
      <c r="C727" s="2">
        <v>9</v>
      </c>
      <c r="D727" s="1">
        <v>1</v>
      </c>
      <c r="E727" t="s">
        <v>8</v>
      </c>
      <c r="F727" t="s">
        <v>9</v>
      </c>
      <c r="G727" t="s">
        <v>28</v>
      </c>
    </row>
    <row r="728" spans="1:7" x14ac:dyDescent="0.25">
      <c r="A728" t="s">
        <v>386</v>
      </c>
      <c r="B728" s="2">
        <v>114</v>
      </c>
      <c r="C728" s="2">
        <v>11</v>
      </c>
      <c r="D728" s="1">
        <v>4</v>
      </c>
      <c r="E728" t="s">
        <v>23</v>
      </c>
      <c r="F728" t="s">
        <v>81</v>
      </c>
      <c r="G728" t="s">
        <v>82</v>
      </c>
    </row>
    <row r="729" spans="1:7" x14ac:dyDescent="0.25">
      <c r="A729" t="s">
        <v>79</v>
      </c>
      <c r="B729" s="2">
        <v>92</v>
      </c>
      <c r="C729" s="2">
        <v>42</v>
      </c>
      <c r="D729" s="1">
        <v>2</v>
      </c>
      <c r="E729" t="s">
        <v>23</v>
      </c>
      <c r="F729" t="s">
        <v>57</v>
      </c>
      <c r="G729" t="s">
        <v>10</v>
      </c>
    </row>
    <row r="730" spans="1:7" x14ac:dyDescent="0.25">
      <c r="A730" t="s">
        <v>387</v>
      </c>
      <c r="B730" s="2">
        <v>117</v>
      </c>
      <c r="C730" s="2">
        <v>14</v>
      </c>
      <c r="D730" s="1">
        <v>3</v>
      </c>
      <c r="E730" t="s">
        <v>23</v>
      </c>
      <c r="F730" t="s">
        <v>142</v>
      </c>
      <c r="G730" t="s">
        <v>28</v>
      </c>
    </row>
    <row r="731" spans="1:7" x14ac:dyDescent="0.25">
      <c r="A731" t="s">
        <v>80</v>
      </c>
      <c r="B731" s="2">
        <v>21</v>
      </c>
      <c r="C731" s="2">
        <v>-10</v>
      </c>
      <c r="D731" s="1">
        <v>4</v>
      </c>
      <c r="E731" t="s">
        <v>23</v>
      </c>
      <c r="F731" t="s">
        <v>63</v>
      </c>
      <c r="G731" t="s">
        <v>10</v>
      </c>
    </row>
    <row r="732" spans="1:7" x14ac:dyDescent="0.25">
      <c r="A732" t="s">
        <v>388</v>
      </c>
      <c r="B732" s="2">
        <v>33</v>
      </c>
      <c r="C732" s="2">
        <v>-10</v>
      </c>
      <c r="D732" s="1">
        <v>6</v>
      </c>
      <c r="E732" t="s">
        <v>23</v>
      </c>
      <c r="F732" t="s">
        <v>63</v>
      </c>
      <c r="G732" t="s">
        <v>28</v>
      </c>
    </row>
    <row r="733" spans="1:7" x14ac:dyDescent="0.25">
      <c r="A733" t="s">
        <v>99</v>
      </c>
      <c r="B733" s="2">
        <v>114</v>
      </c>
      <c r="C733" s="2">
        <v>8</v>
      </c>
      <c r="D733" s="1">
        <v>3</v>
      </c>
      <c r="E733" t="s">
        <v>8</v>
      </c>
      <c r="F733" t="s">
        <v>73</v>
      </c>
      <c r="G733" t="s">
        <v>82</v>
      </c>
    </row>
    <row r="734" spans="1:7" x14ac:dyDescent="0.25">
      <c r="A734" t="s">
        <v>204</v>
      </c>
      <c r="B734" s="2">
        <v>115</v>
      </c>
      <c r="C734" s="2">
        <v>0</v>
      </c>
      <c r="D734" s="1">
        <v>1</v>
      </c>
      <c r="E734" t="s">
        <v>8</v>
      </c>
      <c r="F734" t="s">
        <v>73</v>
      </c>
      <c r="G734" t="s">
        <v>82</v>
      </c>
    </row>
    <row r="735" spans="1:7" x14ac:dyDescent="0.25">
      <c r="A735" t="s">
        <v>31</v>
      </c>
      <c r="B735" s="2">
        <v>90</v>
      </c>
      <c r="C735" s="2">
        <v>29</v>
      </c>
      <c r="D735" s="1">
        <v>5</v>
      </c>
      <c r="E735" t="s">
        <v>23</v>
      </c>
      <c r="F735" t="s">
        <v>81</v>
      </c>
      <c r="G735" t="s">
        <v>10</v>
      </c>
    </row>
    <row r="736" spans="1:7" x14ac:dyDescent="0.25">
      <c r="A736" t="s">
        <v>389</v>
      </c>
      <c r="B736" s="2">
        <v>61</v>
      </c>
      <c r="C736" s="2">
        <v>1</v>
      </c>
      <c r="D736" s="1">
        <v>2</v>
      </c>
      <c r="E736" t="s">
        <v>12</v>
      </c>
      <c r="F736" t="s">
        <v>131</v>
      </c>
      <c r="G736" t="s">
        <v>10</v>
      </c>
    </row>
    <row r="737" spans="1:7" x14ac:dyDescent="0.25">
      <c r="A737" t="s">
        <v>390</v>
      </c>
      <c r="B737" s="2">
        <v>119</v>
      </c>
      <c r="C737" s="2">
        <v>1</v>
      </c>
      <c r="D737" s="1">
        <v>1</v>
      </c>
      <c r="E737" t="s">
        <v>12</v>
      </c>
      <c r="F737" t="s">
        <v>13</v>
      </c>
      <c r="G737" t="s">
        <v>10</v>
      </c>
    </row>
    <row r="738" spans="1:7" x14ac:dyDescent="0.25">
      <c r="A738" t="s">
        <v>111</v>
      </c>
      <c r="B738" s="2">
        <v>117</v>
      </c>
      <c r="C738" s="2">
        <v>36</v>
      </c>
      <c r="D738" s="1">
        <v>2</v>
      </c>
      <c r="E738" t="s">
        <v>23</v>
      </c>
      <c r="F738" t="s">
        <v>24</v>
      </c>
      <c r="G738" t="s">
        <v>82</v>
      </c>
    </row>
    <row r="739" spans="1:7" x14ac:dyDescent="0.25">
      <c r="A739" t="s">
        <v>391</v>
      </c>
      <c r="B739" s="2">
        <v>148</v>
      </c>
      <c r="C739" s="2">
        <v>54</v>
      </c>
      <c r="D739" s="1">
        <v>2</v>
      </c>
      <c r="E739" t="s">
        <v>12</v>
      </c>
      <c r="F739" t="s">
        <v>13</v>
      </c>
      <c r="G739" t="s">
        <v>28</v>
      </c>
    </row>
    <row r="740" spans="1:7" x14ac:dyDescent="0.25">
      <c r="A740" t="s">
        <v>190</v>
      </c>
      <c r="B740" s="2">
        <v>249</v>
      </c>
      <c r="C740" s="2">
        <v>-5</v>
      </c>
      <c r="D740" s="1">
        <v>4</v>
      </c>
      <c r="E740" t="s">
        <v>23</v>
      </c>
      <c r="F740" t="s">
        <v>26</v>
      </c>
      <c r="G740" t="s">
        <v>10</v>
      </c>
    </row>
    <row r="741" spans="1:7" x14ac:dyDescent="0.25">
      <c r="A741" t="s">
        <v>115</v>
      </c>
      <c r="B741" s="2">
        <v>147</v>
      </c>
      <c r="C741" s="2">
        <v>73</v>
      </c>
      <c r="D741" s="1">
        <v>3</v>
      </c>
      <c r="E741" t="s">
        <v>23</v>
      </c>
      <c r="F741" t="s">
        <v>57</v>
      </c>
      <c r="G741" t="s">
        <v>28</v>
      </c>
    </row>
    <row r="742" spans="1:7" x14ac:dyDescent="0.25">
      <c r="A742" t="s">
        <v>392</v>
      </c>
      <c r="B742" s="2">
        <v>118</v>
      </c>
      <c r="C742" s="2">
        <v>35</v>
      </c>
      <c r="D742" s="1">
        <v>7</v>
      </c>
      <c r="E742" t="s">
        <v>23</v>
      </c>
      <c r="F742" t="s">
        <v>81</v>
      </c>
      <c r="G742" t="s">
        <v>14</v>
      </c>
    </row>
    <row r="743" spans="1:7" x14ac:dyDescent="0.25">
      <c r="A743" t="s">
        <v>194</v>
      </c>
      <c r="B743" s="2">
        <v>119</v>
      </c>
      <c r="C743" s="2">
        <v>56</v>
      </c>
      <c r="D743" s="1">
        <v>7</v>
      </c>
      <c r="E743" t="s">
        <v>23</v>
      </c>
      <c r="F743" t="s">
        <v>26</v>
      </c>
      <c r="G743" t="s">
        <v>14</v>
      </c>
    </row>
    <row r="744" spans="1:7" x14ac:dyDescent="0.25">
      <c r="A744" t="s">
        <v>378</v>
      </c>
      <c r="B744" s="2">
        <v>90</v>
      </c>
      <c r="C744" s="2">
        <v>27</v>
      </c>
      <c r="D744" s="1">
        <v>2</v>
      </c>
      <c r="E744" t="s">
        <v>23</v>
      </c>
      <c r="F744" t="s">
        <v>81</v>
      </c>
      <c r="G744" t="s">
        <v>10</v>
      </c>
    </row>
    <row r="745" spans="1:7" x14ac:dyDescent="0.25">
      <c r="A745" t="s">
        <v>263</v>
      </c>
      <c r="B745" s="2">
        <v>32</v>
      </c>
      <c r="C745" s="2">
        <v>1</v>
      </c>
      <c r="D745" s="1">
        <v>2</v>
      </c>
      <c r="E745" t="s">
        <v>23</v>
      </c>
      <c r="F745" t="s">
        <v>57</v>
      </c>
      <c r="G745" t="s">
        <v>10</v>
      </c>
    </row>
    <row r="746" spans="1:7" x14ac:dyDescent="0.25">
      <c r="A746" t="s">
        <v>393</v>
      </c>
      <c r="B746" s="2">
        <v>89</v>
      </c>
      <c r="C746" s="2">
        <v>-89</v>
      </c>
      <c r="D746" s="1">
        <v>2</v>
      </c>
      <c r="E746" t="s">
        <v>12</v>
      </c>
      <c r="F746" t="s">
        <v>131</v>
      </c>
      <c r="G746" t="s">
        <v>10</v>
      </c>
    </row>
    <row r="747" spans="1:7" x14ac:dyDescent="0.25">
      <c r="A747" t="s">
        <v>328</v>
      </c>
      <c r="B747" s="2">
        <v>146</v>
      </c>
      <c r="C747" s="2">
        <v>66</v>
      </c>
      <c r="D747" s="1">
        <v>1</v>
      </c>
      <c r="E747" t="s">
        <v>8</v>
      </c>
      <c r="F747" t="s">
        <v>21</v>
      </c>
      <c r="G747" t="s">
        <v>28</v>
      </c>
    </row>
    <row r="748" spans="1:7" x14ac:dyDescent="0.25">
      <c r="A748" t="s">
        <v>394</v>
      </c>
      <c r="B748" s="2">
        <v>89</v>
      </c>
      <c r="C748" s="2">
        <v>-37</v>
      </c>
      <c r="D748" s="1">
        <v>4</v>
      </c>
      <c r="E748" t="s">
        <v>23</v>
      </c>
      <c r="F748" t="s">
        <v>142</v>
      </c>
      <c r="G748" t="s">
        <v>10</v>
      </c>
    </row>
    <row r="749" spans="1:7" x14ac:dyDescent="0.25">
      <c r="A749" t="s">
        <v>243</v>
      </c>
      <c r="B749" s="2">
        <v>88</v>
      </c>
      <c r="C749" s="2">
        <v>11</v>
      </c>
      <c r="D749" s="1">
        <v>3</v>
      </c>
      <c r="E749" t="s">
        <v>8</v>
      </c>
      <c r="F749" t="s">
        <v>73</v>
      </c>
      <c r="G749" t="s">
        <v>10</v>
      </c>
    </row>
    <row r="750" spans="1:7" x14ac:dyDescent="0.25">
      <c r="A750" t="s">
        <v>395</v>
      </c>
      <c r="B750" s="2">
        <v>121</v>
      </c>
      <c r="C750" s="2">
        <v>41</v>
      </c>
      <c r="D750" s="1">
        <v>4</v>
      </c>
      <c r="E750" t="s">
        <v>23</v>
      </c>
      <c r="F750" t="s">
        <v>57</v>
      </c>
      <c r="G750" t="s">
        <v>14</v>
      </c>
    </row>
    <row r="751" spans="1:7" x14ac:dyDescent="0.25">
      <c r="A751" t="s">
        <v>273</v>
      </c>
      <c r="B751" s="2">
        <v>88</v>
      </c>
      <c r="C751" s="2">
        <v>20</v>
      </c>
      <c r="D751" s="1">
        <v>2</v>
      </c>
      <c r="E751" t="s">
        <v>23</v>
      </c>
      <c r="F751" t="s">
        <v>26</v>
      </c>
      <c r="G751" t="s">
        <v>10</v>
      </c>
    </row>
    <row r="752" spans="1:7" x14ac:dyDescent="0.25">
      <c r="A752" t="s">
        <v>182</v>
      </c>
      <c r="B752" s="2">
        <v>87</v>
      </c>
      <c r="C752" s="2">
        <v>-83</v>
      </c>
      <c r="D752" s="1">
        <v>5</v>
      </c>
      <c r="E752" t="s">
        <v>23</v>
      </c>
      <c r="F752" t="s">
        <v>32</v>
      </c>
      <c r="G752" t="s">
        <v>10</v>
      </c>
    </row>
    <row r="753" spans="1:7" x14ac:dyDescent="0.25">
      <c r="A753" t="s">
        <v>396</v>
      </c>
      <c r="B753" s="2">
        <v>87</v>
      </c>
      <c r="C753" s="2">
        <v>4</v>
      </c>
      <c r="D753" s="1">
        <v>2</v>
      </c>
      <c r="E753" t="s">
        <v>23</v>
      </c>
      <c r="F753" t="s">
        <v>142</v>
      </c>
      <c r="G753" t="s">
        <v>10</v>
      </c>
    </row>
    <row r="754" spans="1:7" x14ac:dyDescent="0.25">
      <c r="A754" t="s">
        <v>397</v>
      </c>
      <c r="B754" s="2">
        <v>122</v>
      </c>
      <c r="C754" s="2">
        <v>15</v>
      </c>
      <c r="D754" s="1">
        <v>3</v>
      </c>
      <c r="E754" t="s">
        <v>8</v>
      </c>
      <c r="F754" t="s">
        <v>73</v>
      </c>
      <c r="G754" t="s">
        <v>14</v>
      </c>
    </row>
    <row r="755" spans="1:7" x14ac:dyDescent="0.25">
      <c r="A755" t="s">
        <v>398</v>
      </c>
      <c r="B755" s="2">
        <v>87</v>
      </c>
      <c r="C755" s="2">
        <v>10</v>
      </c>
      <c r="D755" s="1">
        <v>3</v>
      </c>
      <c r="E755" t="s">
        <v>23</v>
      </c>
      <c r="F755" t="s">
        <v>57</v>
      </c>
      <c r="G755" t="s">
        <v>10</v>
      </c>
    </row>
    <row r="756" spans="1:7" x14ac:dyDescent="0.25">
      <c r="A756" t="s">
        <v>399</v>
      </c>
      <c r="B756" s="2">
        <v>53</v>
      </c>
      <c r="C756" s="2">
        <v>8</v>
      </c>
      <c r="D756" s="1">
        <v>3</v>
      </c>
      <c r="E756" t="s">
        <v>12</v>
      </c>
      <c r="F756" t="s">
        <v>131</v>
      </c>
      <c r="G756" t="s">
        <v>28</v>
      </c>
    </row>
    <row r="757" spans="1:7" x14ac:dyDescent="0.25">
      <c r="A757" t="s">
        <v>133</v>
      </c>
      <c r="B757" s="2">
        <v>87</v>
      </c>
      <c r="C757" s="2">
        <v>-32</v>
      </c>
      <c r="D757" s="1">
        <v>9</v>
      </c>
      <c r="E757" t="s">
        <v>23</v>
      </c>
      <c r="F757" t="s">
        <v>43</v>
      </c>
      <c r="G757" t="s">
        <v>10</v>
      </c>
    </row>
    <row r="758" spans="1:7" x14ac:dyDescent="0.25">
      <c r="A758" t="s">
        <v>400</v>
      </c>
      <c r="B758" s="2">
        <v>86</v>
      </c>
      <c r="C758" s="2">
        <v>-55</v>
      </c>
      <c r="D758" s="1">
        <v>6</v>
      </c>
      <c r="E758" t="s">
        <v>23</v>
      </c>
      <c r="F758" t="s">
        <v>26</v>
      </c>
      <c r="G758" t="s">
        <v>10</v>
      </c>
    </row>
    <row r="759" spans="1:7" x14ac:dyDescent="0.25">
      <c r="A759" t="s">
        <v>401</v>
      </c>
      <c r="B759" s="2">
        <v>125</v>
      </c>
      <c r="C759" s="2">
        <v>22</v>
      </c>
      <c r="D759" s="1">
        <v>3</v>
      </c>
      <c r="E759" t="s">
        <v>23</v>
      </c>
      <c r="F759" t="s">
        <v>57</v>
      </c>
      <c r="G759" t="s">
        <v>14</v>
      </c>
    </row>
    <row r="760" spans="1:7" x14ac:dyDescent="0.25">
      <c r="A760" t="s">
        <v>180</v>
      </c>
      <c r="B760" s="2">
        <v>128</v>
      </c>
      <c r="C760" s="2">
        <v>-3</v>
      </c>
      <c r="D760" s="1">
        <v>3</v>
      </c>
      <c r="E760" t="s">
        <v>23</v>
      </c>
      <c r="F760" t="s">
        <v>26</v>
      </c>
      <c r="G760" t="s">
        <v>82</v>
      </c>
    </row>
    <row r="761" spans="1:7" x14ac:dyDescent="0.25">
      <c r="A761" t="s">
        <v>224</v>
      </c>
      <c r="B761" s="2">
        <v>143</v>
      </c>
      <c r="C761" s="2">
        <v>-124</v>
      </c>
      <c r="D761" s="1">
        <v>5</v>
      </c>
      <c r="E761" t="s">
        <v>23</v>
      </c>
      <c r="F761" t="s">
        <v>26</v>
      </c>
      <c r="G761" t="s">
        <v>28</v>
      </c>
    </row>
    <row r="762" spans="1:7" x14ac:dyDescent="0.25">
      <c r="A762" t="s">
        <v>83</v>
      </c>
      <c r="B762" s="2">
        <v>86</v>
      </c>
      <c r="C762" s="2">
        <v>22</v>
      </c>
      <c r="D762" s="1">
        <v>2</v>
      </c>
      <c r="E762" t="s">
        <v>23</v>
      </c>
      <c r="F762" t="s">
        <v>26</v>
      </c>
      <c r="G762" t="s">
        <v>10</v>
      </c>
    </row>
    <row r="763" spans="1:7" x14ac:dyDescent="0.25">
      <c r="A763" t="s">
        <v>402</v>
      </c>
      <c r="B763" s="2">
        <v>86</v>
      </c>
      <c r="C763" s="2">
        <v>9</v>
      </c>
      <c r="D763" s="1">
        <v>3</v>
      </c>
      <c r="E763" t="s">
        <v>23</v>
      </c>
      <c r="F763" t="s">
        <v>26</v>
      </c>
      <c r="G763" t="s">
        <v>10</v>
      </c>
    </row>
    <row r="764" spans="1:7" x14ac:dyDescent="0.25">
      <c r="A764" t="s">
        <v>289</v>
      </c>
      <c r="B764" s="2">
        <v>85</v>
      </c>
      <c r="C764" s="2">
        <v>-9</v>
      </c>
      <c r="D764" s="1">
        <v>4</v>
      </c>
      <c r="E764" t="s">
        <v>23</v>
      </c>
      <c r="F764" t="s">
        <v>26</v>
      </c>
      <c r="G764" t="s">
        <v>10</v>
      </c>
    </row>
    <row r="765" spans="1:7" x14ac:dyDescent="0.25">
      <c r="A765" t="s">
        <v>268</v>
      </c>
      <c r="B765" s="2">
        <v>129</v>
      </c>
      <c r="C765" s="2">
        <v>-75</v>
      </c>
      <c r="D765" s="1">
        <v>5</v>
      </c>
      <c r="E765" t="s">
        <v>23</v>
      </c>
      <c r="F765" t="s">
        <v>142</v>
      </c>
      <c r="G765" t="s">
        <v>82</v>
      </c>
    </row>
    <row r="766" spans="1:7" x14ac:dyDescent="0.25">
      <c r="A766" t="s">
        <v>403</v>
      </c>
      <c r="B766" s="2">
        <v>84</v>
      </c>
      <c r="C766" s="2">
        <v>-42</v>
      </c>
      <c r="D766" s="1">
        <v>2</v>
      </c>
      <c r="E766" t="s">
        <v>8</v>
      </c>
      <c r="F766" t="s">
        <v>73</v>
      </c>
      <c r="G766" t="s">
        <v>10</v>
      </c>
    </row>
    <row r="767" spans="1:7" x14ac:dyDescent="0.25">
      <c r="A767" t="s">
        <v>121</v>
      </c>
      <c r="B767" s="2">
        <v>83</v>
      </c>
      <c r="C767" s="2">
        <v>-81</v>
      </c>
      <c r="D767" s="1">
        <v>3</v>
      </c>
      <c r="E767" t="s">
        <v>12</v>
      </c>
      <c r="F767" t="s">
        <v>13</v>
      </c>
      <c r="G767" t="s">
        <v>10</v>
      </c>
    </row>
    <row r="768" spans="1:7" x14ac:dyDescent="0.25">
      <c r="A768" t="s">
        <v>297</v>
      </c>
      <c r="B768" s="2">
        <v>143</v>
      </c>
      <c r="C768" s="2">
        <v>6</v>
      </c>
      <c r="D768" s="1">
        <v>2</v>
      </c>
      <c r="E768" t="s">
        <v>8</v>
      </c>
      <c r="F768" t="s">
        <v>73</v>
      </c>
      <c r="G768" t="s">
        <v>28</v>
      </c>
    </row>
    <row r="769" spans="1:7" x14ac:dyDescent="0.25">
      <c r="A769" t="s">
        <v>404</v>
      </c>
      <c r="B769" s="2">
        <v>336</v>
      </c>
      <c r="C769" s="2">
        <v>123</v>
      </c>
      <c r="D769" s="1">
        <v>3</v>
      </c>
      <c r="E769" t="s">
        <v>8</v>
      </c>
      <c r="F769" t="s">
        <v>21</v>
      </c>
      <c r="G769" t="s">
        <v>28</v>
      </c>
    </row>
    <row r="770" spans="1:7" x14ac:dyDescent="0.25">
      <c r="A770" t="s">
        <v>71</v>
      </c>
      <c r="B770" s="2">
        <v>323</v>
      </c>
      <c r="C770" s="2">
        <v>122</v>
      </c>
      <c r="D770" s="1">
        <v>5</v>
      </c>
      <c r="E770" t="s">
        <v>8</v>
      </c>
      <c r="F770" t="s">
        <v>21</v>
      </c>
      <c r="G770" t="s">
        <v>28</v>
      </c>
    </row>
    <row r="771" spans="1:7" x14ac:dyDescent="0.25">
      <c r="A771" t="s">
        <v>260</v>
      </c>
      <c r="B771" s="2">
        <v>130</v>
      </c>
      <c r="C771" s="2">
        <v>61</v>
      </c>
      <c r="D771" s="1">
        <v>3</v>
      </c>
      <c r="E771" t="s">
        <v>23</v>
      </c>
      <c r="F771" t="s">
        <v>142</v>
      </c>
      <c r="G771" t="s">
        <v>82</v>
      </c>
    </row>
    <row r="772" spans="1:7" x14ac:dyDescent="0.25">
      <c r="A772" t="s">
        <v>292</v>
      </c>
      <c r="B772" s="2">
        <v>152</v>
      </c>
      <c r="C772" s="2">
        <v>-3</v>
      </c>
      <c r="D772" s="1">
        <v>5</v>
      </c>
      <c r="E772" t="s">
        <v>23</v>
      </c>
      <c r="F772" t="s">
        <v>26</v>
      </c>
      <c r="G772" t="s">
        <v>10</v>
      </c>
    </row>
    <row r="773" spans="1:7" x14ac:dyDescent="0.25">
      <c r="A773" t="s">
        <v>397</v>
      </c>
      <c r="B773" s="2">
        <v>25</v>
      </c>
      <c r="C773" s="2">
        <v>10</v>
      </c>
      <c r="D773" s="1">
        <v>1</v>
      </c>
      <c r="E773" t="s">
        <v>12</v>
      </c>
      <c r="F773" t="s">
        <v>131</v>
      </c>
      <c r="G773" t="s">
        <v>28</v>
      </c>
    </row>
    <row r="774" spans="1:7" x14ac:dyDescent="0.25">
      <c r="A774" t="s">
        <v>140</v>
      </c>
      <c r="B774" s="2">
        <v>140</v>
      </c>
      <c r="C774" s="2">
        <v>15</v>
      </c>
      <c r="D774" s="1">
        <v>5</v>
      </c>
      <c r="E774" t="s">
        <v>23</v>
      </c>
      <c r="F774" t="s">
        <v>57</v>
      </c>
      <c r="G774" t="s">
        <v>28</v>
      </c>
    </row>
    <row r="775" spans="1:7" x14ac:dyDescent="0.25">
      <c r="A775" t="s">
        <v>241</v>
      </c>
      <c r="B775" s="2">
        <v>45</v>
      </c>
      <c r="C775" s="2">
        <v>0</v>
      </c>
      <c r="D775" s="1">
        <v>2</v>
      </c>
      <c r="E775" t="s">
        <v>23</v>
      </c>
      <c r="F775" t="s">
        <v>57</v>
      </c>
      <c r="G775" t="s">
        <v>28</v>
      </c>
    </row>
    <row r="776" spans="1:7" x14ac:dyDescent="0.25">
      <c r="A776" t="s">
        <v>157</v>
      </c>
      <c r="B776" s="2">
        <v>132</v>
      </c>
      <c r="C776" s="2">
        <v>49</v>
      </c>
      <c r="D776" s="1">
        <v>3</v>
      </c>
      <c r="E776" t="s">
        <v>23</v>
      </c>
      <c r="F776" t="s">
        <v>142</v>
      </c>
      <c r="G776" t="s">
        <v>10</v>
      </c>
    </row>
    <row r="777" spans="1:7" x14ac:dyDescent="0.25">
      <c r="A777" t="s">
        <v>229</v>
      </c>
      <c r="B777" s="2">
        <v>133</v>
      </c>
      <c r="C777" s="2">
        <v>12</v>
      </c>
      <c r="D777" s="1">
        <v>5</v>
      </c>
      <c r="E777" t="s">
        <v>23</v>
      </c>
      <c r="F777" t="s">
        <v>57</v>
      </c>
      <c r="G777" t="s">
        <v>82</v>
      </c>
    </row>
    <row r="778" spans="1:7" x14ac:dyDescent="0.25">
      <c r="A778" t="s">
        <v>187</v>
      </c>
      <c r="B778" s="2">
        <v>82</v>
      </c>
      <c r="C778" s="2">
        <v>13</v>
      </c>
      <c r="D778" s="1">
        <v>2</v>
      </c>
      <c r="E778" t="s">
        <v>23</v>
      </c>
      <c r="F778" t="s">
        <v>142</v>
      </c>
      <c r="G778" t="s">
        <v>10</v>
      </c>
    </row>
    <row r="779" spans="1:7" x14ac:dyDescent="0.25">
      <c r="A779" t="s">
        <v>243</v>
      </c>
      <c r="B779" s="2">
        <v>140</v>
      </c>
      <c r="C779" s="2">
        <v>56</v>
      </c>
      <c r="D779" s="1">
        <v>4</v>
      </c>
      <c r="E779" t="s">
        <v>23</v>
      </c>
      <c r="F779" t="s">
        <v>142</v>
      </c>
      <c r="G779" t="s">
        <v>28</v>
      </c>
    </row>
    <row r="780" spans="1:7" x14ac:dyDescent="0.25">
      <c r="A780" t="s">
        <v>330</v>
      </c>
      <c r="B780" s="2">
        <v>81</v>
      </c>
      <c r="C780" s="2">
        <v>19</v>
      </c>
      <c r="D780" s="1">
        <v>7</v>
      </c>
      <c r="E780" t="s">
        <v>23</v>
      </c>
      <c r="F780" t="s">
        <v>30</v>
      </c>
      <c r="G780" t="s">
        <v>10</v>
      </c>
    </row>
    <row r="781" spans="1:7" x14ac:dyDescent="0.25">
      <c r="A781" t="s">
        <v>72</v>
      </c>
      <c r="B781" s="2">
        <v>137</v>
      </c>
      <c r="C781" s="2">
        <v>38</v>
      </c>
      <c r="D781" s="1">
        <v>5</v>
      </c>
      <c r="E781" t="s">
        <v>23</v>
      </c>
      <c r="F781" t="s">
        <v>30</v>
      </c>
      <c r="G781" t="s">
        <v>82</v>
      </c>
    </row>
    <row r="782" spans="1:7" x14ac:dyDescent="0.25">
      <c r="A782" t="s">
        <v>405</v>
      </c>
      <c r="B782" s="2">
        <v>137</v>
      </c>
      <c r="C782" s="2">
        <v>-41</v>
      </c>
      <c r="D782" s="1">
        <v>3</v>
      </c>
      <c r="E782" t="s">
        <v>8</v>
      </c>
      <c r="F782" t="s">
        <v>21</v>
      </c>
      <c r="G782" t="s">
        <v>82</v>
      </c>
    </row>
    <row r="783" spans="1:7" x14ac:dyDescent="0.25">
      <c r="A783" t="s">
        <v>383</v>
      </c>
      <c r="B783" s="2">
        <v>140</v>
      </c>
      <c r="C783" s="2">
        <v>57</v>
      </c>
      <c r="D783" s="1">
        <v>2</v>
      </c>
      <c r="E783" t="s">
        <v>23</v>
      </c>
      <c r="F783" t="s">
        <v>24</v>
      </c>
      <c r="G783" t="s">
        <v>82</v>
      </c>
    </row>
    <row r="784" spans="1:7" x14ac:dyDescent="0.25">
      <c r="A784" t="s">
        <v>406</v>
      </c>
      <c r="B784" s="2">
        <v>139</v>
      </c>
      <c r="C784" s="2">
        <v>30</v>
      </c>
      <c r="D784" s="1">
        <v>3</v>
      </c>
      <c r="E784" t="s">
        <v>23</v>
      </c>
      <c r="F784" t="s">
        <v>142</v>
      </c>
      <c r="G784" t="s">
        <v>28</v>
      </c>
    </row>
    <row r="785" spans="1:7" x14ac:dyDescent="0.25">
      <c r="A785" t="s">
        <v>273</v>
      </c>
      <c r="B785" s="2">
        <v>138</v>
      </c>
      <c r="C785" s="2">
        <v>11</v>
      </c>
      <c r="D785" s="1">
        <v>5</v>
      </c>
      <c r="E785" t="s">
        <v>23</v>
      </c>
      <c r="F785" t="s">
        <v>57</v>
      </c>
      <c r="G785" t="s">
        <v>28</v>
      </c>
    </row>
    <row r="786" spans="1:7" x14ac:dyDescent="0.25">
      <c r="A786" t="s">
        <v>407</v>
      </c>
      <c r="B786" s="2">
        <v>79</v>
      </c>
      <c r="C786" s="2">
        <v>-124</v>
      </c>
      <c r="D786" s="1">
        <v>9</v>
      </c>
      <c r="E786" t="s">
        <v>23</v>
      </c>
      <c r="F786" t="s">
        <v>43</v>
      </c>
      <c r="G786" t="s">
        <v>10</v>
      </c>
    </row>
    <row r="787" spans="1:7" x14ac:dyDescent="0.25">
      <c r="A787" t="s">
        <v>408</v>
      </c>
      <c r="B787" s="2">
        <v>136</v>
      </c>
      <c r="C787" s="2">
        <v>41</v>
      </c>
      <c r="D787" s="1">
        <v>3</v>
      </c>
      <c r="E787" t="s">
        <v>8</v>
      </c>
      <c r="F787" t="s">
        <v>73</v>
      </c>
      <c r="G787" t="s">
        <v>28</v>
      </c>
    </row>
    <row r="788" spans="1:7" x14ac:dyDescent="0.25">
      <c r="A788" t="s">
        <v>297</v>
      </c>
      <c r="B788" s="2">
        <v>145</v>
      </c>
      <c r="C788" s="2">
        <v>16</v>
      </c>
      <c r="D788" s="1">
        <v>3</v>
      </c>
      <c r="E788" t="s">
        <v>23</v>
      </c>
      <c r="F788" t="s">
        <v>81</v>
      </c>
      <c r="G788" t="s">
        <v>82</v>
      </c>
    </row>
    <row r="789" spans="1:7" x14ac:dyDescent="0.25">
      <c r="A789" t="s">
        <v>174</v>
      </c>
      <c r="B789" s="2">
        <v>44</v>
      </c>
      <c r="C789" s="2">
        <v>20</v>
      </c>
      <c r="D789" s="1">
        <v>2</v>
      </c>
      <c r="E789" t="s">
        <v>23</v>
      </c>
      <c r="F789" t="s">
        <v>81</v>
      </c>
      <c r="G789" t="s">
        <v>28</v>
      </c>
    </row>
    <row r="790" spans="1:7" x14ac:dyDescent="0.25">
      <c r="A790" t="s">
        <v>306</v>
      </c>
      <c r="B790" s="2">
        <v>79</v>
      </c>
      <c r="C790" s="2">
        <v>6</v>
      </c>
      <c r="D790" s="1">
        <v>7</v>
      </c>
      <c r="E790" t="s">
        <v>23</v>
      </c>
      <c r="F790" t="s">
        <v>26</v>
      </c>
      <c r="G790" t="s">
        <v>10</v>
      </c>
    </row>
    <row r="791" spans="1:7" x14ac:dyDescent="0.25">
      <c r="A791" t="s">
        <v>158</v>
      </c>
      <c r="B791" s="2">
        <v>79</v>
      </c>
      <c r="C791" s="2">
        <v>36</v>
      </c>
      <c r="D791" s="1">
        <v>4</v>
      </c>
      <c r="E791" t="s">
        <v>23</v>
      </c>
      <c r="F791" t="s">
        <v>142</v>
      </c>
      <c r="G791" t="s">
        <v>10</v>
      </c>
    </row>
    <row r="792" spans="1:7" x14ac:dyDescent="0.25">
      <c r="A792" t="s">
        <v>212</v>
      </c>
      <c r="B792" s="2">
        <v>134</v>
      </c>
      <c r="C792" s="2">
        <v>-13</v>
      </c>
      <c r="D792" s="1">
        <v>3</v>
      </c>
      <c r="E792" t="s">
        <v>8</v>
      </c>
      <c r="F792" t="s">
        <v>9</v>
      </c>
      <c r="G792" t="s">
        <v>28</v>
      </c>
    </row>
    <row r="793" spans="1:7" x14ac:dyDescent="0.25">
      <c r="A793" t="s">
        <v>46</v>
      </c>
      <c r="B793" s="2">
        <v>133</v>
      </c>
      <c r="C793" s="2">
        <v>5</v>
      </c>
      <c r="D793" s="1">
        <v>5</v>
      </c>
      <c r="E793" t="s">
        <v>23</v>
      </c>
      <c r="F793" t="s">
        <v>57</v>
      </c>
      <c r="G793" t="s">
        <v>28</v>
      </c>
    </row>
    <row r="794" spans="1:7" x14ac:dyDescent="0.25">
      <c r="A794" t="s">
        <v>211</v>
      </c>
      <c r="B794" s="2">
        <v>47</v>
      </c>
      <c r="C794" s="2">
        <v>20</v>
      </c>
      <c r="D794" s="1">
        <v>7</v>
      </c>
      <c r="E794" t="s">
        <v>23</v>
      </c>
      <c r="F794" t="s">
        <v>30</v>
      </c>
      <c r="G794" t="s">
        <v>28</v>
      </c>
    </row>
    <row r="795" spans="1:7" x14ac:dyDescent="0.25">
      <c r="A795" t="s">
        <v>258</v>
      </c>
      <c r="B795" s="2">
        <v>133</v>
      </c>
      <c r="C795" s="2">
        <v>-42</v>
      </c>
      <c r="D795" s="1">
        <v>1</v>
      </c>
      <c r="E795" t="s">
        <v>8</v>
      </c>
      <c r="F795" t="s">
        <v>18</v>
      </c>
      <c r="G795" t="s">
        <v>28</v>
      </c>
    </row>
    <row r="796" spans="1:7" x14ac:dyDescent="0.25">
      <c r="A796" t="s">
        <v>409</v>
      </c>
      <c r="B796" s="2">
        <v>78</v>
      </c>
      <c r="C796" s="2">
        <v>27</v>
      </c>
      <c r="D796" s="1">
        <v>3</v>
      </c>
      <c r="E796" t="s">
        <v>23</v>
      </c>
      <c r="F796" t="s">
        <v>57</v>
      </c>
      <c r="G796" t="s">
        <v>10</v>
      </c>
    </row>
    <row r="797" spans="1:7" x14ac:dyDescent="0.25">
      <c r="A797" t="s">
        <v>410</v>
      </c>
      <c r="B797" s="2">
        <v>78</v>
      </c>
      <c r="C797" s="2">
        <v>7</v>
      </c>
      <c r="D797" s="1">
        <v>1</v>
      </c>
      <c r="E797" t="s">
        <v>12</v>
      </c>
      <c r="F797" t="s">
        <v>13</v>
      </c>
      <c r="G797" t="s">
        <v>10</v>
      </c>
    </row>
    <row r="798" spans="1:7" x14ac:dyDescent="0.25">
      <c r="A798" t="s">
        <v>411</v>
      </c>
      <c r="B798" s="2">
        <v>76</v>
      </c>
      <c r="C798" s="2">
        <v>-92</v>
      </c>
      <c r="D798" s="1">
        <v>8</v>
      </c>
      <c r="E798" t="s">
        <v>12</v>
      </c>
      <c r="F798" t="s">
        <v>131</v>
      </c>
      <c r="G798" t="s">
        <v>10</v>
      </c>
    </row>
    <row r="799" spans="1:7" x14ac:dyDescent="0.25">
      <c r="A799" t="s">
        <v>412</v>
      </c>
      <c r="B799" s="2">
        <v>76</v>
      </c>
      <c r="C799" s="2">
        <v>-50</v>
      </c>
      <c r="D799" s="1">
        <v>1</v>
      </c>
      <c r="E799" t="s">
        <v>23</v>
      </c>
      <c r="F799" t="s">
        <v>26</v>
      </c>
      <c r="G799" t="s">
        <v>10</v>
      </c>
    </row>
    <row r="800" spans="1:7" x14ac:dyDescent="0.25">
      <c r="A800" t="s">
        <v>234</v>
      </c>
      <c r="B800" s="2">
        <v>76</v>
      </c>
      <c r="C800" s="2">
        <v>19</v>
      </c>
      <c r="D800" s="1">
        <v>3</v>
      </c>
      <c r="E800" t="s">
        <v>23</v>
      </c>
      <c r="F800" t="s">
        <v>30</v>
      </c>
      <c r="G800" t="s">
        <v>10</v>
      </c>
    </row>
    <row r="801" spans="1:7" x14ac:dyDescent="0.25">
      <c r="A801" t="s">
        <v>155</v>
      </c>
      <c r="B801" s="2">
        <v>74</v>
      </c>
      <c r="C801" s="2">
        <v>29</v>
      </c>
      <c r="D801" s="1">
        <v>3</v>
      </c>
      <c r="E801" t="s">
        <v>23</v>
      </c>
      <c r="F801" t="s">
        <v>57</v>
      </c>
      <c r="G801" t="s">
        <v>10</v>
      </c>
    </row>
    <row r="802" spans="1:7" x14ac:dyDescent="0.25">
      <c r="A802" t="s">
        <v>413</v>
      </c>
      <c r="B802" s="2">
        <v>74</v>
      </c>
      <c r="C802" s="2">
        <v>-25</v>
      </c>
      <c r="D802" s="1">
        <v>3</v>
      </c>
      <c r="E802" t="s">
        <v>23</v>
      </c>
      <c r="F802" t="s">
        <v>57</v>
      </c>
      <c r="G802" t="s">
        <v>10</v>
      </c>
    </row>
    <row r="803" spans="1:7" x14ac:dyDescent="0.25">
      <c r="A803" t="s">
        <v>145</v>
      </c>
      <c r="B803" s="2">
        <v>146</v>
      </c>
      <c r="C803" s="2">
        <v>-63</v>
      </c>
      <c r="D803" s="1">
        <v>3</v>
      </c>
      <c r="E803" t="s">
        <v>8</v>
      </c>
      <c r="F803" t="s">
        <v>9</v>
      </c>
      <c r="G803" t="s">
        <v>82</v>
      </c>
    </row>
    <row r="804" spans="1:7" x14ac:dyDescent="0.25">
      <c r="A804" t="s">
        <v>141</v>
      </c>
      <c r="B804" s="2">
        <v>73</v>
      </c>
      <c r="C804" s="2">
        <v>-31</v>
      </c>
      <c r="D804" s="1">
        <v>1</v>
      </c>
      <c r="E804" t="s">
        <v>12</v>
      </c>
      <c r="F804" t="s">
        <v>16</v>
      </c>
      <c r="G804" t="s">
        <v>10</v>
      </c>
    </row>
    <row r="805" spans="1:7" x14ac:dyDescent="0.25">
      <c r="A805" t="s">
        <v>88</v>
      </c>
      <c r="B805" s="2">
        <v>80</v>
      </c>
      <c r="C805" s="2">
        <v>22</v>
      </c>
      <c r="D805" s="1">
        <v>3</v>
      </c>
      <c r="E805" t="s">
        <v>23</v>
      </c>
      <c r="F805" t="s">
        <v>57</v>
      </c>
      <c r="G805" t="s">
        <v>28</v>
      </c>
    </row>
    <row r="806" spans="1:7" x14ac:dyDescent="0.25">
      <c r="A806" t="s">
        <v>294</v>
      </c>
      <c r="B806" s="2">
        <v>133</v>
      </c>
      <c r="C806" s="2">
        <v>46</v>
      </c>
      <c r="D806" s="1">
        <v>5</v>
      </c>
      <c r="E806" t="s">
        <v>23</v>
      </c>
      <c r="F806" t="s">
        <v>142</v>
      </c>
      <c r="G806" t="s">
        <v>14</v>
      </c>
    </row>
    <row r="807" spans="1:7" x14ac:dyDescent="0.25">
      <c r="A807" t="s">
        <v>414</v>
      </c>
      <c r="B807" s="2">
        <v>146</v>
      </c>
      <c r="C807" s="2">
        <v>7</v>
      </c>
      <c r="D807" s="1">
        <v>2</v>
      </c>
      <c r="E807" t="s">
        <v>8</v>
      </c>
      <c r="F807" t="s">
        <v>21</v>
      </c>
      <c r="G807" t="s">
        <v>82</v>
      </c>
    </row>
    <row r="808" spans="1:7" x14ac:dyDescent="0.25">
      <c r="A808" t="s">
        <v>218</v>
      </c>
      <c r="B808" s="2">
        <v>130</v>
      </c>
      <c r="C808" s="2">
        <v>-41</v>
      </c>
      <c r="D808" s="1">
        <v>4</v>
      </c>
      <c r="E808" t="s">
        <v>23</v>
      </c>
      <c r="F808" t="s">
        <v>26</v>
      </c>
      <c r="G808" t="s">
        <v>14</v>
      </c>
    </row>
    <row r="809" spans="1:7" x14ac:dyDescent="0.25">
      <c r="A809" t="s">
        <v>415</v>
      </c>
      <c r="B809" s="2">
        <v>141</v>
      </c>
      <c r="C809" s="2">
        <v>41</v>
      </c>
      <c r="D809" s="1">
        <v>3</v>
      </c>
      <c r="E809" t="s">
        <v>23</v>
      </c>
      <c r="F809" t="s">
        <v>142</v>
      </c>
      <c r="G809" t="s">
        <v>28</v>
      </c>
    </row>
    <row r="810" spans="1:7" x14ac:dyDescent="0.25">
      <c r="A810" t="s">
        <v>214</v>
      </c>
      <c r="B810" s="2">
        <v>147</v>
      </c>
      <c r="C810" s="2">
        <v>21</v>
      </c>
      <c r="D810" s="1">
        <v>3</v>
      </c>
      <c r="E810" t="s">
        <v>12</v>
      </c>
      <c r="F810" t="s">
        <v>131</v>
      </c>
      <c r="G810" t="s">
        <v>82</v>
      </c>
    </row>
    <row r="811" spans="1:7" x14ac:dyDescent="0.25">
      <c r="A811" t="s">
        <v>99</v>
      </c>
      <c r="B811" s="2">
        <v>73</v>
      </c>
      <c r="C811" s="2">
        <v>-7</v>
      </c>
      <c r="D811" s="1">
        <v>1</v>
      </c>
      <c r="E811" t="s">
        <v>8</v>
      </c>
      <c r="F811" t="s">
        <v>21</v>
      </c>
      <c r="G811" t="s">
        <v>10</v>
      </c>
    </row>
    <row r="812" spans="1:7" x14ac:dyDescent="0.25">
      <c r="A812" t="s">
        <v>416</v>
      </c>
      <c r="B812" s="2">
        <v>148</v>
      </c>
      <c r="C812" s="2">
        <v>72</v>
      </c>
      <c r="D812" s="1">
        <v>7</v>
      </c>
      <c r="E812" t="s">
        <v>23</v>
      </c>
      <c r="F812" t="s">
        <v>81</v>
      </c>
      <c r="G812" t="s">
        <v>82</v>
      </c>
    </row>
    <row r="813" spans="1:7" x14ac:dyDescent="0.25">
      <c r="A813" t="s">
        <v>417</v>
      </c>
      <c r="B813" s="2">
        <v>58</v>
      </c>
      <c r="C813" s="2">
        <v>0</v>
      </c>
      <c r="D813" s="1">
        <v>4</v>
      </c>
      <c r="E813" t="s">
        <v>23</v>
      </c>
      <c r="F813" t="s">
        <v>26</v>
      </c>
      <c r="G813" t="s">
        <v>28</v>
      </c>
    </row>
    <row r="814" spans="1:7" x14ac:dyDescent="0.25">
      <c r="A814" t="s">
        <v>308</v>
      </c>
      <c r="B814" s="2">
        <v>21</v>
      </c>
      <c r="C814" s="2">
        <v>-13</v>
      </c>
      <c r="D814" s="1">
        <v>3</v>
      </c>
      <c r="E814" t="s">
        <v>23</v>
      </c>
      <c r="F814" t="s">
        <v>63</v>
      </c>
      <c r="G814" t="s">
        <v>28</v>
      </c>
    </row>
    <row r="815" spans="1:7" x14ac:dyDescent="0.25">
      <c r="A815" t="s">
        <v>17</v>
      </c>
      <c r="B815" s="2">
        <v>148</v>
      </c>
      <c r="C815" s="2">
        <v>25</v>
      </c>
      <c r="D815" s="1">
        <v>3</v>
      </c>
      <c r="E815" t="s">
        <v>23</v>
      </c>
      <c r="F815" t="s">
        <v>26</v>
      </c>
      <c r="G815" t="s">
        <v>82</v>
      </c>
    </row>
    <row r="816" spans="1:7" x14ac:dyDescent="0.25">
      <c r="A816" t="s">
        <v>418</v>
      </c>
      <c r="B816" s="2">
        <v>144</v>
      </c>
      <c r="C816" s="2">
        <v>-7</v>
      </c>
      <c r="D816" s="1">
        <v>4</v>
      </c>
      <c r="E816" t="s">
        <v>8</v>
      </c>
      <c r="F816" t="s">
        <v>9</v>
      </c>
      <c r="G816" t="s">
        <v>10</v>
      </c>
    </row>
    <row r="817" spans="1:7" x14ac:dyDescent="0.25">
      <c r="A817" t="s">
        <v>290</v>
      </c>
      <c r="B817" s="2">
        <v>145</v>
      </c>
      <c r="C817" s="2">
        <v>-104</v>
      </c>
      <c r="D817" s="1">
        <v>5</v>
      </c>
      <c r="E817" t="s">
        <v>12</v>
      </c>
      <c r="F817" t="s">
        <v>13</v>
      </c>
      <c r="G817" t="s">
        <v>28</v>
      </c>
    </row>
    <row r="818" spans="1:7" x14ac:dyDescent="0.25">
      <c r="A818" t="s">
        <v>112</v>
      </c>
      <c r="B818" s="2">
        <v>72</v>
      </c>
      <c r="C818" s="2">
        <v>-49</v>
      </c>
      <c r="D818" s="1">
        <v>1</v>
      </c>
      <c r="E818" t="s">
        <v>8</v>
      </c>
      <c r="F818" t="s">
        <v>21</v>
      </c>
      <c r="G818" t="s">
        <v>10</v>
      </c>
    </row>
    <row r="819" spans="1:7" x14ac:dyDescent="0.25">
      <c r="A819" t="s">
        <v>44</v>
      </c>
      <c r="B819" s="2">
        <v>125</v>
      </c>
      <c r="C819" s="2">
        <v>15</v>
      </c>
      <c r="D819" s="1">
        <v>5</v>
      </c>
      <c r="E819" t="s">
        <v>23</v>
      </c>
      <c r="F819" t="s">
        <v>142</v>
      </c>
      <c r="G819" t="s">
        <v>14</v>
      </c>
    </row>
    <row r="820" spans="1:7" x14ac:dyDescent="0.25">
      <c r="A820" t="s">
        <v>72</v>
      </c>
      <c r="B820" s="2">
        <v>149</v>
      </c>
      <c r="C820" s="2">
        <v>15</v>
      </c>
      <c r="D820" s="1">
        <v>3</v>
      </c>
      <c r="E820" t="s">
        <v>23</v>
      </c>
      <c r="F820" t="s">
        <v>26</v>
      </c>
      <c r="G820" t="s">
        <v>82</v>
      </c>
    </row>
    <row r="821" spans="1:7" x14ac:dyDescent="0.25">
      <c r="A821" t="s">
        <v>116</v>
      </c>
      <c r="B821" s="2">
        <v>72</v>
      </c>
      <c r="C821" s="2">
        <v>16</v>
      </c>
      <c r="D821" s="1">
        <v>2</v>
      </c>
      <c r="E821" t="s">
        <v>23</v>
      </c>
      <c r="F821" t="s">
        <v>142</v>
      </c>
      <c r="G821" t="s">
        <v>10</v>
      </c>
    </row>
    <row r="822" spans="1:7" x14ac:dyDescent="0.25">
      <c r="A822" t="s">
        <v>50</v>
      </c>
      <c r="B822" s="2">
        <v>71</v>
      </c>
      <c r="C822" s="2">
        <v>0</v>
      </c>
      <c r="D822" s="1">
        <v>8</v>
      </c>
      <c r="E822" t="s">
        <v>23</v>
      </c>
      <c r="F822" t="s">
        <v>43</v>
      </c>
      <c r="G822" t="s">
        <v>10</v>
      </c>
    </row>
    <row r="823" spans="1:7" x14ac:dyDescent="0.25">
      <c r="A823" t="s">
        <v>419</v>
      </c>
      <c r="B823" s="2">
        <v>71</v>
      </c>
      <c r="C823" s="2">
        <v>-14</v>
      </c>
      <c r="D823" s="1">
        <v>4</v>
      </c>
      <c r="E823" t="s">
        <v>12</v>
      </c>
      <c r="F823" t="s">
        <v>131</v>
      </c>
      <c r="G823" t="s">
        <v>10</v>
      </c>
    </row>
    <row r="824" spans="1:7" x14ac:dyDescent="0.25">
      <c r="A824" t="s">
        <v>96</v>
      </c>
      <c r="B824" s="2">
        <v>154</v>
      </c>
      <c r="C824" s="2">
        <v>-85</v>
      </c>
      <c r="D824" s="1">
        <v>3</v>
      </c>
      <c r="E824" t="s">
        <v>12</v>
      </c>
      <c r="F824" t="s">
        <v>13</v>
      </c>
      <c r="G824" t="s">
        <v>14</v>
      </c>
    </row>
    <row r="825" spans="1:7" x14ac:dyDescent="0.25">
      <c r="A825" t="s">
        <v>152</v>
      </c>
      <c r="B825" s="2">
        <v>191</v>
      </c>
      <c r="C825" s="2">
        <v>13</v>
      </c>
      <c r="D825" s="1">
        <v>8</v>
      </c>
      <c r="E825" t="s">
        <v>12</v>
      </c>
      <c r="F825" t="s">
        <v>131</v>
      </c>
      <c r="G825" t="s">
        <v>10</v>
      </c>
    </row>
    <row r="826" spans="1:7" x14ac:dyDescent="0.25">
      <c r="A826" t="s">
        <v>403</v>
      </c>
      <c r="B826" s="2">
        <v>170</v>
      </c>
      <c r="C826" s="2">
        <v>19</v>
      </c>
      <c r="D826" s="1">
        <v>5</v>
      </c>
      <c r="E826" t="s">
        <v>23</v>
      </c>
      <c r="F826" t="s">
        <v>81</v>
      </c>
      <c r="G826" t="s">
        <v>28</v>
      </c>
    </row>
    <row r="827" spans="1:7" x14ac:dyDescent="0.25">
      <c r="A827" t="s">
        <v>67</v>
      </c>
      <c r="B827" s="2">
        <v>47</v>
      </c>
      <c r="C827" s="2">
        <v>-3</v>
      </c>
      <c r="D827" s="1">
        <v>2</v>
      </c>
      <c r="E827" t="s">
        <v>23</v>
      </c>
      <c r="F827" t="s">
        <v>57</v>
      </c>
      <c r="G827" t="s">
        <v>28</v>
      </c>
    </row>
    <row r="828" spans="1:7" x14ac:dyDescent="0.25">
      <c r="A828" t="s">
        <v>78</v>
      </c>
      <c r="B828" s="2">
        <v>122</v>
      </c>
      <c r="C828" s="2">
        <v>-47</v>
      </c>
      <c r="D828" s="1">
        <v>4</v>
      </c>
      <c r="E828" t="s">
        <v>23</v>
      </c>
      <c r="F828" t="s">
        <v>26</v>
      </c>
      <c r="G828" t="s">
        <v>14</v>
      </c>
    </row>
    <row r="829" spans="1:7" x14ac:dyDescent="0.25">
      <c r="A829" t="s">
        <v>330</v>
      </c>
      <c r="B829" s="2">
        <v>70</v>
      </c>
      <c r="C829" s="2">
        <v>26</v>
      </c>
      <c r="D829" s="1">
        <v>5</v>
      </c>
      <c r="E829" t="s">
        <v>23</v>
      </c>
      <c r="F829" t="s">
        <v>30</v>
      </c>
      <c r="G829" t="s">
        <v>10</v>
      </c>
    </row>
    <row r="830" spans="1:7" x14ac:dyDescent="0.25">
      <c r="A830" t="s">
        <v>263</v>
      </c>
      <c r="B830" s="2">
        <v>155</v>
      </c>
      <c r="C830" s="2">
        <v>5</v>
      </c>
      <c r="D830" s="1">
        <v>3</v>
      </c>
      <c r="E830" t="s">
        <v>23</v>
      </c>
      <c r="F830" t="s">
        <v>57</v>
      </c>
      <c r="G830" t="s">
        <v>14</v>
      </c>
    </row>
    <row r="831" spans="1:7" x14ac:dyDescent="0.25">
      <c r="A831" t="s">
        <v>420</v>
      </c>
      <c r="B831" s="2">
        <v>67</v>
      </c>
      <c r="C831" s="2">
        <v>-86</v>
      </c>
      <c r="D831" s="1">
        <v>9</v>
      </c>
      <c r="E831" t="s">
        <v>12</v>
      </c>
      <c r="F831" t="s">
        <v>131</v>
      </c>
      <c r="G831" t="s">
        <v>10</v>
      </c>
    </row>
    <row r="832" spans="1:7" x14ac:dyDescent="0.25">
      <c r="A832" t="s">
        <v>99</v>
      </c>
      <c r="B832" s="2">
        <v>67</v>
      </c>
      <c r="C832" s="2">
        <v>-42</v>
      </c>
      <c r="D832" s="1">
        <v>3</v>
      </c>
      <c r="E832" t="s">
        <v>23</v>
      </c>
      <c r="F832" t="s">
        <v>57</v>
      </c>
      <c r="G832" t="s">
        <v>10</v>
      </c>
    </row>
    <row r="833" spans="1:7" x14ac:dyDescent="0.25">
      <c r="A833" t="s">
        <v>64</v>
      </c>
      <c r="B833" s="2">
        <v>148</v>
      </c>
      <c r="C833" s="2">
        <v>-101</v>
      </c>
      <c r="D833" s="1">
        <v>2</v>
      </c>
      <c r="E833" t="s">
        <v>12</v>
      </c>
      <c r="F833" t="s">
        <v>16</v>
      </c>
      <c r="G833" t="s">
        <v>28</v>
      </c>
    </row>
    <row r="834" spans="1:7" x14ac:dyDescent="0.25">
      <c r="A834" t="s">
        <v>228</v>
      </c>
      <c r="B834" s="2">
        <v>122</v>
      </c>
      <c r="C834" s="2">
        <v>38</v>
      </c>
      <c r="D834" s="1">
        <v>6</v>
      </c>
      <c r="E834" t="s">
        <v>23</v>
      </c>
      <c r="F834" t="s">
        <v>81</v>
      </c>
      <c r="G834" t="s">
        <v>19</v>
      </c>
    </row>
    <row r="835" spans="1:7" x14ac:dyDescent="0.25">
      <c r="A835" t="s">
        <v>421</v>
      </c>
      <c r="B835" s="2">
        <v>16</v>
      </c>
      <c r="C835" s="2">
        <v>-5</v>
      </c>
      <c r="D835" s="1">
        <v>2</v>
      </c>
      <c r="E835" t="s">
        <v>23</v>
      </c>
      <c r="F835" t="s">
        <v>57</v>
      </c>
      <c r="G835" t="s">
        <v>28</v>
      </c>
    </row>
    <row r="836" spans="1:7" x14ac:dyDescent="0.25">
      <c r="A836" t="s">
        <v>205</v>
      </c>
      <c r="B836" s="2">
        <v>121</v>
      </c>
      <c r="C836" s="2">
        <v>-17</v>
      </c>
      <c r="D836" s="1">
        <v>3</v>
      </c>
      <c r="E836" t="s">
        <v>12</v>
      </c>
      <c r="F836" t="s">
        <v>131</v>
      </c>
      <c r="G836" t="s">
        <v>19</v>
      </c>
    </row>
    <row r="837" spans="1:7" x14ac:dyDescent="0.25">
      <c r="A837" t="s">
        <v>141</v>
      </c>
      <c r="B837" s="2">
        <v>42</v>
      </c>
      <c r="C837" s="2">
        <v>-15</v>
      </c>
      <c r="D837" s="1">
        <v>12</v>
      </c>
      <c r="E837" t="s">
        <v>23</v>
      </c>
      <c r="F837" t="s">
        <v>43</v>
      </c>
      <c r="G837" t="s">
        <v>28</v>
      </c>
    </row>
    <row r="838" spans="1:7" x14ac:dyDescent="0.25">
      <c r="A838" t="s">
        <v>262</v>
      </c>
      <c r="B838" s="2">
        <v>65</v>
      </c>
      <c r="C838" s="2">
        <v>-4</v>
      </c>
      <c r="D838" s="1">
        <v>6</v>
      </c>
      <c r="E838" t="s">
        <v>23</v>
      </c>
      <c r="F838" t="s">
        <v>30</v>
      </c>
      <c r="G838" t="s">
        <v>10</v>
      </c>
    </row>
    <row r="839" spans="1:7" x14ac:dyDescent="0.25">
      <c r="A839" t="s">
        <v>386</v>
      </c>
      <c r="B839" s="2">
        <v>119</v>
      </c>
      <c r="C839" s="2">
        <v>-43</v>
      </c>
      <c r="D839" s="1">
        <v>7</v>
      </c>
      <c r="E839" t="s">
        <v>23</v>
      </c>
      <c r="F839" t="s">
        <v>32</v>
      </c>
      <c r="G839" t="s">
        <v>19</v>
      </c>
    </row>
    <row r="840" spans="1:7" x14ac:dyDescent="0.25">
      <c r="A840" t="s">
        <v>400</v>
      </c>
      <c r="B840" s="2">
        <v>155</v>
      </c>
      <c r="C840" s="2">
        <v>56</v>
      </c>
      <c r="D840" s="1">
        <v>3</v>
      </c>
      <c r="E840" t="s">
        <v>12</v>
      </c>
      <c r="F840" t="s">
        <v>131</v>
      </c>
      <c r="G840" t="s">
        <v>14</v>
      </c>
    </row>
    <row r="841" spans="1:7" x14ac:dyDescent="0.25">
      <c r="A841" t="s">
        <v>20</v>
      </c>
      <c r="B841" s="2">
        <v>119</v>
      </c>
      <c r="C841" s="2">
        <v>-5</v>
      </c>
      <c r="D841" s="1">
        <v>8</v>
      </c>
      <c r="E841" t="s">
        <v>23</v>
      </c>
      <c r="F841" t="s">
        <v>26</v>
      </c>
      <c r="G841" t="s">
        <v>19</v>
      </c>
    </row>
    <row r="842" spans="1:7" x14ac:dyDescent="0.25">
      <c r="A842" t="s">
        <v>422</v>
      </c>
      <c r="B842" s="2">
        <v>118</v>
      </c>
      <c r="C842" s="2">
        <v>25</v>
      </c>
      <c r="D842" s="1">
        <v>4</v>
      </c>
      <c r="E842" t="s">
        <v>23</v>
      </c>
      <c r="F842" t="s">
        <v>30</v>
      </c>
      <c r="G842" t="s">
        <v>19</v>
      </c>
    </row>
    <row r="843" spans="1:7" x14ac:dyDescent="0.25">
      <c r="A843" t="s">
        <v>132</v>
      </c>
      <c r="B843" s="2">
        <v>116</v>
      </c>
      <c r="C843" s="2">
        <v>22</v>
      </c>
      <c r="D843" s="1">
        <v>1</v>
      </c>
      <c r="E843" t="s">
        <v>8</v>
      </c>
      <c r="F843" t="s">
        <v>73</v>
      </c>
      <c r="G843" t="s">
        <v>19</v>
      </c>
    </row>
    <row r="844" spans="1:7" x14ac:dyDescent="0.25">
      <c r="A844" t="s">
        <v>46</v>
      </c>
      <c r="B844" s="2">
        <v>158</v>
      </c>
      <c r="C844" s="2">
        <v>-29</v>
      </c>
      <c r="D844" s="1">
        <v>10</v>
      </c>
      <c r="E844" t="s">
        <v>23</v>
      </c>
      <c r="F844" t="s">
        <v>30</v>
      </c>
      <c r="G844" t="s">
        <v>14</v>
      </c>
    </row>
    <row r="845" spans="1:7" x14ac:dyDescent="0.25">
      <c r="A845" t="s">
        <v>323</v>
      </c>
      <c r="B845" s="2">
        <v>158</v>
      </c>
      <c r="C845" s="2">
        <v>69</v>
      </c>
      <c r="D845" s="1">
        <v>3</v>
      </c>
      <c r="E845" t="s">
        <v>23</v>
      </c>
      <c r="F845" t="s">
        <v>57</v>
      </c>
      <c r="G845" t="s">
        <v>14</v>
      </c>
    </row>
    <row r="846" spans="1:7" x14ac:dyDescent="0.25">
      <c r="A846" t="s">
        <v>288</v>
      </c>
      <c r="B846" s="2">
        <v>65</v>
      </c>
      <c r="C846" s="2">
        <v>-52</v>
      </c>
      <c r="D846" s="1">
        <v>3</v>
      </c>
      <c r="E846" t="s">
        <v>8</v>
      </c>
      <c r="F846" t="s">
        <v>73</v>
      </c>
      <c r="G846" t="s">
        <v>10</v>
      </c>
    </row>
    <row r="847" spans="1:7" x14ac:dyDescent="0.25">
      <c r="A847" t="s">
        <v>423</v>
      </c>
      <c r="B847" s="2">
        <v>160</v>
      </c>
      <c r="C847" s="2">
        <v>-59</v>
      </c>
      <c r="D847" s="1">
        <v>2</v>
      </c>
      <c r="E847" t="s">
        <v>23</v>
      </c>
      <c r="F847" t="s">
        <v>26</v>
      </c>
      <c r="G847" t="s">
        <v>14</v>
      </c>
    </row>
    <row r="848" spans="1:7" x14ac:dyDescent="0.25">
      <c r="A848" t="s">
        <v>74</v>
      </c>
      <c r="B848" s="2">
        <v>162</v>
      </c>
      <c r="C848" s="2">
        <v>20</v>
      </c>
      <c r="D848" s="1">
        <v>3</v>
      </c>
      <c r="E848" t="s">
        <v>12</v>
      </c>
      <c r="F848" t="s">
        <v>13</v>
      </c>
      <c r="G848" t="s">
        <v>14</v>
      </c>
    </row>
    <row r="849" spans="1:7" x14ac:dyDescent="0.25">
      <c r="A849" t="s">
        <v>184</v>
      </c>
      <c r="B849" s="2">
        <v>63</v>
      </c>
      <c r="C849" s="2">
        <v>1</v>
      </c>
      <c r="D849" s="1">
        <v>4</v>
      </c>
      <c r="E849" t="s">
        <v>23</v>
      </c>
      <c r="F849" t="s">
        <v>81</v>
      </c>
      <c r="G849" t="s">
        <v>10</v>
      </c>
    </row>
    <row r="850" spans="1:7" x14ac:dyDescent="0.25">
      <c r="A850" t="s">
        <v>424</v>
      </c>
      <c r="B850" s="2">
        <v>64</v>
      </c>
      <c r="C850" s="2">
        <v>27</v>
      </c>
      <c r="D850" s="1">
        <v>5</v>
      </c>
      <c r="E850" t="s">
        <v>23</v>
      </c>
      <c r="F850" t="s">
        <v>30</v>
      </c>
      <c r="G850" t="s">
        <v>28</v>
      </c>
    </row>
    <row r="851" spans="1:7" x14ac:dyDescent="0.25">
      <c r="A851" t="s">
        <v>425</v>
      </c>
      <c r="B851" s="2">
        <v>166</v>
      </c>
      <c r="C851" s="2">
        <v>-113</v>
      </c>
      <c r="D851" s="1">
        <v>4</v>
      </c>
      <c r="E851" t="s">
        <v>8</v>
      </c>
      <c r="F851" t="s">
        <v>73</v>
      </c>
      <c r="G851" t="s">
        <v>14</v>
      </c>
    </row>
    <row r="852" spans="1:7" x14ac:dyDescent="0.25">
      <c r="A852" t="s">
        <v>426</v>
      </c>
      <c r="B852" s="2">
        <v>167</v>
      </c>
      <c r="C852" s="2">
        <v>43</v>
      </c>
      <c r="D852" s="1">
        <v>7</v>
      </c>
      <c r="E852" t="s">
        <v>23</v>
      </c>
      <c r="F852" t="s">
        <v>81</v>
      </c>
      <c r="G852" t="s">
        <v>14</v>
      </c>
    </row>
    <row r="853" spans="1:7" x14ac:dyDescent="0.25">
      <c r="A853" t="s">
        <v>427</v>
      </c>
      <c r="B853" s="2">
        <v>123</v>
      </c>
      <c r="C853" s="2">
        <v>17</v>
      </c>
      <c r="D853" s="1">
        <v>3</v>
      </c>
      <c r="E853" t="s">
        <v>12</v>
      </c>
      <c r="F853" t="s">
        <v>131</v>
      </c>
      <c r="G853" t="s">
        <v>10</v>
      </c>
    </row>
    <row r="854" spans="1:7" x14ac:dyDescent="0.25">
      <c r="A854" t="s">
        <v>125</v>
      </c>
      <c r="B854" s="2">
        <v>63</v>
      </c>
      <c r="C854" s="2">
        <v>14</v>
      </c>
      <c r="D854" s="1">
        <v>2</v>
      </c>
      <c r="E854" t="s">
        <v>23</v>
      </c>
      <c r="F854" t="s">
        <v>142</v>
      </c>
      <c r="G854" t="s">
        <v>10</v>
      </c>
    </row>
    <row r="855" spans="1:7" x14ac:dyDescent="0.25">
      <c r="A855" t="s">
        <v>328</v>
      </c>
      <c r="B855" s="2">
        <v>891</v>
      </c>
      <c r="C855" s="2">
        <v>0</v>
      </c>
      <c r="D855" s="1">
        <v>5</v>
      </c>
      <c r="E855" t="s">
        <v>23</v>
      </c>
      <c r="F855" t="s">
        <v>26</v>
      </c>
      <c r="G855" t="s">
        <v>10</v>
      </c>
    </row>
    <row r="856" spans="1:7" x14ac:dyDescent="0.25">
      <c r="A856" t="s">
        <v>198</v>
      </c>
      <c r="B856" s="2">
        <v>75</v>
      </c>
      <c r="C856" s="2">
        <v>28</v>
      </c>
      <c r="D856" s="1">
        <v>9</v>
      </c>
      <c r="E856" t="s">
        <v>23</v>
      </c>
      <c r="F856" t="s">
        <v>30</v>
      </c>
      <c r="G856" t="s">
        <v>28</v>
      </c>
    </row>
    <row r="857" spans="1:7" x14ac:dyDescent="0.25">
      <c r="A857" t="s">
        <v>271</v>
      </c>
      <c r="B857" s="2">
        <v>62</v>
      </c>
      <c r="C857" s="2">
        <v>6</v>
      </c>
      <c r="D857" s="1">
        <v>5</v>
      </c>
      <c r="E857" t="s">
        <v>23</v>
      </c>
      <c r="F857" t="s">
        <v>30</v>
      </c>
      <c r="G857" t="s">
        <v>10</v>
      </c>
    </row>
    <row r="858" spans="1:7" x14ac:dyDescent="0.25">
      <c r="A858" t="s">
        <v>340</v>
      </c>
      <c r="B858" s="2">
        <v>29</v>
      </c>
      <c r="C858" s="2">
        <v>-18</v>
      </c>
      <c r="D858" s="1">
        <v>7</v>
      </c>
      <c r="E858" t="s">
        <v>23</v>
      </c>
      <c r="F858" t="s">
        <v>43</v>
      </c>
      <c r="G858" t="s">
        <v>28</v>
      </c>
    </row>
    <row r="859" spans="1:7" x14ac:dyDescent="0.25">
      <c r="A859" t="s">
        <v>428</v>
      </c>
      <c r="B859" s="2">
        <v>168</v>
      </c>
      <c r="C859" s="2">
        <v>18</v>
      </c>
      <c r="D859" s="1">
        <v>6</v>
      </c>
      <c r="E859" t="s">
        <v>23</v>
      </c>
      <c r="F859" t="s">
        <v>57</v>
      </c>
      <c r="G859" t="s">
        <v>82</v>
      </c>
    </row>
    <row r="860" spans="1:7" x14ac:dyDescent="0.25">
      <c r="A860" t="s">
        <v>211</v>
      </c>
      <c r="B860" s="2">
        <v>70</v>
      </c>
      <c r="C860" s="2">
        <v>24</v>
      </c>
      <c r="D860" s="1">
        <v>3</v>
      </c>
      <c r="E860" t="s">
        <v>23</v>
      </c>
      <c r="F860" t="s">
        <v>57</v>
      </c>
      <c r="G860" t="s">
        <v>28</v>
      </c>
    </row>
    <row r="861" spans="1:7" x14ac:dyDescent="0.25">
      <c r="A861" t="s">
        <v>230</v>
      </c>
      <c r="B861" s="2">
        <v>169</v>
      </c>
      <c r="C861" s="2">
        <v>55</v>
      </c>
      <c r="D861" s="1">
        <v>4</v>
      </c>
      <c r="E861" t="s">
        <v>23</v>
      </c>
      <c r="F861" t="s">
        <v>26</v>
      </c>
      <c r="G861" t="s">
        <v>82</v>
      </c>
    </row>
    <row r="862" spans="1:7" x14ac:dyDescent="0.25">
      <c r="A862" t="s">
        <v>152</v>
      </c>
      <c r="B862" s="2">
        <v>32</v>
      </c>
      <c r="C862" s="2">
        <v>-8</v>
      </c>
      <c r="D862" s="1">
        <v>2</v>
      </c>
      <c r="E862" t="s">
        <v>23</v>
      </c>
      <c r="F862" t="s">
        <v>57</v>
      </c>
      <c r="G862" t="s">
        <v>10</v>
      </c>
    </row>
    <row r="863" spans="1:7" x14ac:dyDescent="0.25">
      <c r="A863" t="s">
        <v>119</v>
      </c>
      <c r="B863" s="2">
        <v>44</v>
      </c>
      <c r="C863" s="2">
        <v>-8</v>
      </c>
      <c r="D863" s="1">
        <v>3</v>
      </c>
      <c r="E863" t="s">
        <v>23</v>
      </c>
      <c r="F863" t="s">
        <v>57</v>
      </c>
      <c r="G863" t="s">
        <v>28</v>
      </c>
    </row>
    <row r="864" spans="1:7" x14ac:dyDescent="0.25">
      <c r="A864" t="s">
        <v>107</v>
      </c>
      <c r="B864" s="2">
        <v>116</v>
      </c>
      <c r="C864" s="2">
        <v>-56</v>
      </c>
      <c r="D864" s="1">
        <v>5</v>
      </c>
      <c r="E864" t="s">
        <v>23</v>
      </c>
      <c r="F864" t="s">
        <v>57</v>
      </c>
      <c r="G864" t="s">
        <v>19</v>
      </c>
    </row>
    <row r="865" spans="1:7" x14ac:dyDescent="0.25">
      <c r="A865" t="s">
        <v>429</v>
      </c>
      <c r="B865" s="2">
        <v>156</v>
      </c>
      <c r="C865" s="2">
        <v>21</v>
      </c>
      <c r="D865" s="1">
        <v>3</v>
      </c>
      <c r="E865" t="s">
        <v>12</v>
      </c>
      <c r="F865" t="s">
        <v>13</v>
      </c>
      <c r="G865" t="s">
        <v>10</v>
      </c>
    </row>
    <row r="866" spans="1:7" x14ac:dyDescent="0.25">
      <c r="A866" t="s">
        <v>173</v>
      </c>
      <c r="B866" s="2">
        <v>62</v>
      </c>
      <c r="C866" s="2">
        <v>6</v>
      </c>
      <c r="D866" s="1">
        <v>6</v>
      </c>
      <c r="E866" t="s">
        <v>23</v>
      </c>
      <c r="F866" t="s">
        <v>43</v>
      </c>
      <c r="G866" t="s">
        <v>10</v>
      </c>
    </row>
    <row r="867" spans="1:7" x14ac:dyDescent="0.25">
      <c r="A867" t="s">
        <v>50</v>
      </c>
      <c r="B867" s="2">
        <v>54</v>
      </c>
      <c r="C867" s="2">
        <v>1</v>
      </c>
      <c r="D867" s="1">
        <v>2</v>
      </c>
      <c r="E867" t="s">
        <v>23</v>
      </c>
      <c r="F867" t="s">
        <v>26</v>
      </c>
      <c r="G867" t="s">
        <v>28</v>
      </c>
    </row>
    <row r="868" spans="1:7" x14ac:dyDescent="0.25">
      <c r="A868" t="s">
        <v>179</v>
      </c>
      <c r="B868" s="2">
        <v>111</v>
      </c>
      <c r="C868" s="2">
        <v>11</v>
      </c>
      <c r="D868" s="1">
        <v>9</v>
      </c>
      <c r="E868" t="s">
        <v>23</v>
      </c>
      <c r="F868" t="s">
        <v>30</v>
      </c>
      <c r="G868" t="s">
        <v>19</v>
      </c>
    </row>
    <row r="869" spans="1:7" x14ac:dyDescent="0.25">
      <c r="A869" t="s">
        <v>430</v>
      </c>
      <c r="B869" s="2">
        <v>158</v>
      </c>
      <c r="C869" s="2">
        <v>-63</v>
      </c>
      <c r="D869" s="1">
        <v>4</v>
      </c>
      <c r="E869" t="s">
        <v>12</v>
      </c>
      <c r="F869" t="s">
        <v>13</v>
      </c>
      <c r="G869" t="s">
        <v>28</v>
      </c>
    </row>
    <row r="870" spans="1:7" x14ac:dyDescent="0.25">
      <c r="A870" t="s">
        <v>215</v>
      </c>
      <c r="B870" s="2">
        <v>7</v>
      </c>
      <c r="C870" s="2">
        <v>-3</v>
      </c>
      <c r="D870" s="1">
        <v>2</v>
      </c>
      <c r="E870" t="s">
        <v>23</v>
      </c>
      <c r="F870" t="s">
        <v>43</v>
      </c>
      <c r="G870" t="s">
        <v>28</v>
      </c>
    </row>
    <row r="871" spans="1:7" x14ac:dyDescent="0.25">
      <c r="A871" t="s">
        <v>378</v>
      </c>
      <c r="B871" s="2">
        <v>61</v>
      </c>
      <c r="C871" s="2">
        <v>28</v>
      </c>
      <c r="D871" s="1">
        <v>2</v>
      </c>
      <c r="E871" t="s">
        <v>23</v>
      </c>
      <c r="F871" t="s">
        <v>30</v>
      </c>
      <c r="G871" t="s">
        <v>28</v>
      </c>
    </row>
    <row r="872" spans="1:7" x14ac:dyDescent="0.25">
      <c r="A872" t="s">
        <v>208</v>
      </c>
      <c r="B872" s="2">
        <v>61</v>
      </c>
      <c r="C872" s="2">
        <v>-50</v>
      </c>
      <c r="D872" s="1">
        <v>4</v>
      </c>
      <c r="E872" t="s">
        <v>23</v>
      </c>
      <c r="F872" t="s">
        <v>30</v>
      </c>
      <c r="G872" t="s">
        <v>10</v>
      </c>
    </row>
    <row r="873" spans="1:7" x14ac:dyDescent="0.25">
      <c r="A873" t="s">
        <v>306</v>
      </c>
      <c r="B873" s="2">
        <v>154</v>
      </c>
      <c r="C873" s="2">
        <v>26</v>
      </c>
      <c r="D873" s="1">
        <v>4</v>
      </c>
      <c r="E873" t="s">
        <v>8</v>
      </c>
      <c r="F873" t="s">
        <v>73</v>
      </c>
      <c r="G873" t="s">
        <v>10</v>
      </c>
    </row>
    <row r="874" spans="1:7" x14ac:dyDescent="0.25">
      <c r="A874" t="s">
        <v>31</v>
      </c>
      <c r="B874" s="2">
        <v>62</v>
      </c>
      <c r="C874" s="2">
        <v>1</v>
      </c>
      <c r="D874" s="1">
        <v>3</v>
      </c>
      <c r="E874" t="s">
        <v>23</v>
      </c>
      <c r="F874" t="s">
        <v>26</v>
      </c>
      <c r="G874" t="s">
        <v>10</v>
      </c>
    </row>
    <row r="875" spans="1:7" x14ac:dyDescent="0.25">
      <c r="A875" t="s">
        <v>431</v>
      </c>
      <c r="B875" s="2">
        <v>169</v>
      </c>
      <c r="C875" s="2">
        <v>38</v>
      </c>
      <c r="D875" s="1">
        <v>3</v>
      </c>
      <c r="E875" t="s">
        <v>23</v>
      </c>
      <c r="F875" t="s">
        <v>26</v>
      </c>
      <c r="G875" t="s">
        <v>82</v>
      </c>
    </row>
    <row r="876" spans="1:7" x14ac:dyDescent="0.25">
      <c r="A876" t="s">
        <v>408</v>
      </c>
      <c r="B876" s="2">
        <v>61</v>
      </c>
      <c r="C876" s="2">
        <v>18</v>
      </c>
      <c r="D876" s="1">
        <v>2</v>
      </c>
      <c r="E876" t="s">
        <v>8</v>
      </c>
      <c r="F876" t="s">
        <v>73</v>
      </c>
      <c r="G876" t="s">
        <v>10</v>
      </c>
    </row>
    <row r="877" spans="1:7" x14ac:dyDescent="0.25">
      <c r="A877" t="s">
        <v>123</v>
      </c>
      <c r="B877" s="2">
        <v>61</v>
      </c>
      <c r="C877" s="2">
        <v>-23</v>
      </c>
      <c r="D877" s="1">
        <v>2</v>
      </c>
      <c r="E877" t="s">
        <v>23</v>
      </c>
      <c r="F877" t="s">
        <v>26</v>
      </c>
      <c r="G877" t="s">
        <v>10</v>
      </c>
    </row>
    <row r="878" spans="1:7" x14ac:dyDescent="0.25">
      <c r="A878" t="s">
        <v>432</v>
      </c>
      <c r="B878" s="2">
        <v>171</v>
      </c>
      <c r="C878" s="2">
        <v>14</v>
      </c>
      <c r="D878" s="1">
        <v>9</v>
      </c>
      <c r="E878" t="s">
        <v>23</v>
      </c>
      <c r="F878" t="s">
        <v>142</v>
      </c>
      <c r="G878" t="s">
        <v>82</v>
      </c>
    </row>
    <row r="879" spans="1:7" x14ac:dyDescent="0.25">
      <c r="A879" t="s">
        <v>276</v>
      </c>
      <c r="B879" s="2">
        <v>60</v>
      </c>
      <c r="C879" s="2">
        <v>-49</v>
      </c>
      <c r="D879" s="1">
        <v>8</v>
      </c>
      <c r="E879" t="s">
        <v>23</v>
      </c>
      <c r="F879" t="s">
        <v>30</v>
      </c>
      <c r="G879" t="s">
        <v>10</v>
      </c>
    </row>
    <row r="880" spans="1:7" x14ac:dyDescent="0.25">
      <c r="A880" t="s">
        <v>388</v>
      </c>
      <c r="B880" s="2">
        <v>25</v>
      </c>
      <c r="C880" s="2">
        <v>-11</v>
      </c>
      <c r="D880" s="1">
        <v>1</v>
      </c>
      <c r="E880" t="s">
        <v>23</v>
      </c>
      <c r="F880" t="s">
        <v>57</v>
      </c>
      <c r="G880" t="s">
        <v>28</v>
      </c>
    </row>
    <row r="881" spans="1:7" x14ac:dyDescent="0.25">
      <c r="A881" t="s">
        <v>188</v>
      </c>
      <c r="B881" s="2">
        <v>163</v>
      </c>
      <c r="C881" s="2">
        <v>26</v>
      </c>
      <c r="D881" s="1">
        <v>4</v>
      </c>
      <c r="E881" t="s">
        <v>23</v>
      </c>
      <c r="F881" t="s">
        <v>142</v>
      </c>
      <c r="G881" t="s">
        <v>10</v>
      </c>
    </row>
    <row r="882" spans="1:7" x14ac:dyDescent="0.25">
      <c r="A882" t="s">
        <v>164</v>
      </c>
      <c r="B882" s="2">
        <v>173</v>
      </c>
      <c r="C882" s="2">
        <v>86</v>
      </c>
      <c r="D882" s="1">
        <v>1</v>
      </c>
      <c r="E882" t="s">
        <v>8</v>
      </c>
      <c r="F882" t="s">
        <v>18</v>
      </c>
      <c r="G882" t="s">
        <v>82</v>
      </c>
    </row>
    <row r="883" spans="1:7" x14ac:dyDescent="0.25">
      <c r="A883" t="s">
        <v>67</v>
      </c>
      <c r="B883" s="2">
        <v>257</v>
      </c>
      <c r="C883" s="2">
        <v>-3</v>
      </c>
      <c r="D883" s="1">
        <v>2</v>
      </c>
      <c r="E883" t="s">
        <v>12</v>
      </c>
      <c r="F883" t="s">
        <v>16</v>
      </c>
      <c r="G883" t="s">
        <v>28</v>
      </c>
    </row>
    <row r="884" spans="1:7" x14ac:dyDescent="0.25">
      <c r="A884" t="s">
        <v>433</v>
      </c>
      <c r="B884" s="2">
        <v>108</v>
      </c>
      <c r="C884" s="2">
        <v>37</v>
      </c>
      <c r="D884" s="1">
        <v>2</v>
      </c>
      <c r="E884" t="s">
        <v>23</v>
      </c>
      <c r="F884" t="s">
        <v>57</v>
      </c>
      <c r="G884" t="s">
        <v>19</v>
      </c>
    </row>
    <row r="885" spans="1:7" x14ac:dyDescent="0.25">
      <c r="A885" t="s">
        <v>434</v>
      </c>
      <c r="B885" s="2">
        <v>177</v>
      </c>
      <c r="C885" s="2">
        <v>41</v>
      </c>
      <c r="D885" s="1">
        <v>4</v>
      </c>
      <c r="E885" t="s">
        <v>23</v>
      </c>
      <c r="F885" t="s">
        <v>142</v>
      </c>
      <c r="G885" t="s">
        <v>82</v>
      </c>
    </row>
    <row r="886" spans="1:7" x14ac:dyDescent="0.25">
      <c r="A886" t="s">
        <v>104</v>
      </c>
      <c r="B886" s="2">
        <v>106</v>
      </c>
      <c r="C886" s="2">
        <v>15</v>
      </c>
      <c r="D886" s="1">
        <v>7</v>
      </c>
      <c r="E886" t="s">
        <v>23</v>
      </c>
      <c r="F886" t="s">
        <v>30</v>
      </c>
      <c r="G886" t="s">
        <v>19</v>
      </c>
    </row>
    <row r="887" spans="1:7" x14ac:dyDescent="0.25">
      <c r="A887" t="s">
        <v>54</v>
      </c>
      <c r="B887" s="2">
        <v>41</v>
      </c>
      <c r="C887" s="2">
        <v>-14</v>
      </c>
      <c r="D887" s="1">
        <v>5</v>
      </c>
      <c r="E887" t="s">
        <v>23</v>
      </c>
      <c r="F887" t="s">
        <v>63</v>
      </c>
      <c r="G887" t="s">
        <v>28</v>
      </c>
    </row>
    <row r="888" spans="1:7" x14ac:dyDescent="0.25">
      <c r="A888" t="s">
        <v>117</v>
      </c>
      <c r="B888" s="2">
        <v>168</v>
      </c>
      <c r="C888" s="2">
        <v>-10</v>
      </c>
      <c r="D888" s="1">
        <v>3</v>
      </c>
      <c r="E888" t="s">
        <v>8</v>
      </c>
      <c r="F888" t="s">
        <v>73</v>
      </c>
      <c r="G888" t="s">
        <v>28</v>
      </c>
    </row>
    <row r="889" spans="1:7" x14ac:dyDescent="0.25">
      <c r="A889" t="s">
        <v>139</v>
      </c>
      <c r="B889" s="2">
        <v>60</v>
      </c>
      <c r="C889" s="2">
        <v>21</v>
      </c>
      <c r="D889" s="1">
        <v>4</v>
      </c>
      <c r="E889" t="s">
        <v>23</v>
      </c>
      <c r="F889" t="s">
        <v>57</v>
      </c>
      <c r="G889" t="s">
        <v>10</v>
      </c>
    </row>
    <row r="890" spans="1:7" x14ac:dyDescent="0.25">
      <c r="A890" t="s">
        <v>435</v>
      </c>
      <c r="B890" s="2">
        <v>31</v>
      </c>
      <c r="C890" s="2">
        <v>-11</v>
      </c>
      <c r="D890" s="1">
        <v>4</v>
      </c>
      <c r="E890" t="s">
        <v>23</v>
      </c>
      <c r="F890" t="s">
        <v>57</v>
      </c>
      <c r="G890" t="s">
        <v>10</v>
      </c>
    </row>
    <row r="891" spans="1:7" x14ac:dyDescent="0.25">
      <c r="A891" t="s">
        <v>228</v>
      </c>
      <c r="B891" s="2">
        <v>179</v>
      </c>
      <c r="C891" s="2">
        <v>0</v>
      </c>
      <c r="D891" s="1">
        <v>2</v>
      </c>
      <c r="E891" t="s">
        <v>23</v>
      </c>
      <c r="F891" t="s">
        <v>26</v>
      </c>
      <c r="G891" t="s">
        <v>82</v>
      </c>
    </row>
    <row r="892" spans="1:7" x14ac:dyDescent="0.25">
      <c r="A892" t="s">
        <v>172</v>
      </c>
      <c r="B892" s="2">
        <v>106</v>
      </c>
      <c r="C892" s="2">
        <v>12</v>
      </c>
      <c r="D892" s="1">
        <v>3</v>
      </c>
      <c r="E892" t="s">
        <v>23</v>
      </c>
      <c r="F892" t="s">
        <v>24</v>
      </c>
      <c r="G892" t="s">
        <v>19</v>
      </c>
    </row>
    <row r="893" spans="1:7" x14ac:dyDescent="0.25">
      <c r="A893" t="s">
        <v>294</v>
      </c>
      <c r="B893" s="2">
        <v>60</v>
      </c>
      <c r="C893" s="2">
        <v>13</v>
      </c>
      <c r="D893" s="1">
        <v>2</v>
      </c>
      <c r="E893" t="s">
        <v>23</v>
      </c>
      <c r="F893" t="s">
        <v>81</v>
      </c>
      <c r="G893" t="s">
        <v>10</v>
      </c>
    </row>
    <row r="894" spans="1:7" x14ac:dyDescent="0.25">
      <c r="A894" t="s">
        <v>149</v>
      </c>
      <c r="B894" s="2">
        <v>180</v>
      </c>
      <c r="C894" s="2">
        <v>5</v>
      </c>
      <c r="D894" s="1">
        <v>3</v>
      </c>
      <c r="E894" t="s">
        <v>23</v>
      </c>
      <c r="F894" t="s">
        <v>24</v>
      </c>
      <c r="G894" t="s">
        <v>82</v>
      </c>
    </row>
    <row r="895" spans="1:7" x14ac:dyDescent="0.25">
      <c r="A895" t="s">
        <v>134</v>
      </c>
      <c r="B895" s="2">
        <v>60</v>
      </c>
      <c r="C895" s="2">
        <v>-10</v>
      </c>
      <c r="D895" s="1">
        <v>2</v>
      </c>
      <c r="E895" t="s">
        <v>12</v>
      </c>
      <c r="F895" t="s">
        <v>131</v>
      </c>
      <c r="G895" t="s">
        <v>10</v>
      </c>
    </row>
    <row r="896" spans="1:7" x14ac:dyDescent="0.25">
      <c r="A896" t="s">
        <v>389</v>
      </c>
      <c r="B896" s="2">
        <v>59</v>
      </c>
      <c r="C896" s="2">
        <v>25</v>
      </c>
      <c r="D896" s="1">
        <v>3</v>
      </c>
      <c r="E896" t="s">
        <v>23</v>
      </c>
      <c r="F896" t="s">
        <v>57</v>
      </c>
      <c r="G896" t="s">
        <v>10</v>
      </c>
    </row>
    <row r="897" spans="1:7" x14ac:dyDescent="0.25">
      <c r="A897" t="s">
        <v>84</v>
      </c>
      <c r="B897" s="2">
        <v>170</v>
      </c>
      <c r="C897" s="2">
        <v>73</v>
      </c>
      <c r="D897" s="1">
        <v>2</v>
      </c>
      <c r="E897" t="s">
        <v>8</v>
      </c>
      <c r="F897" t="s">
        <v>73</v>
      </c>
      <c r="G897" t="s">
        <v>28</v>
      </c>
    </row>
    <row r="898" spans="1:7" x14ac:dyDescent="0.25">
      <c r="A898" t="s">
        <v>394</v>
      </c>
      <c r="B898" s="2">
        <v>59</v>
      </c>
      <c r="C898" s="2">
        <v>10</v>
      </c>
      <c r="D898" s="1">
        <v>2</v>
      </c>
      <c r="E898" t="s">
        <v>23</v>
      </c>
      <c r="F898" t="s">
        <v>30</v>
      </c>
      <c r="G898" t="s">
        <v>10</v>
      </c>
    </row>
    <row r="899" spans="1:7" x14ac:dyDescent="0.25">
      <c r="A899" t="s">
        <v>308</v>
      </c>
      <c r="B899" s="2">
        <v>24</v>
      </c>
      <c r="C899" s="2">
        <v>-21</v>
      </c>
      <c r="D899" s="1">
        <v>7</v>
      </c>
      <c r="E899" t="s">
        <v>23</v>
      </c>
      <c r="F899" t="s">
        <v>43</v>
      </c>
      <c r="G899" t="s">
        <v>10</v>
      </c>
    </row>
    <row r="900" spans="1:7" x14ac:dyDescent="0.25">
      <c r="A900" t="s">
        <v>59</v>
      </c>
      <c r="B900" s="2">
        <v>105</v>
      </c>
      <c r="C900" s="2">
        <v>-26</v>
      </c>
      <c r="D900" s="1">
        <v>8</v>
      </c>
      <c r="E900" t="s">
        <v>23</v>
      </c>
      <c r="F900" t="s">
        <v>63</v>
      </c>
      <c r="G900" t="s">
        <v>19</v>
      </c>
    </row>
    <row r="901" spans="1:7" x14ac:dyDescent="0.25">
      <c r="A901" t="s">
        <v>243</v>
      </c>
      <c r="B901" s="2">
        <v>103</v>
      </c>
      <c r="C901" s="2">
        <v>46</v>
      </c>
      <c r="D901" s="1">
        <v>2</v>
      </c>
      <c r="E901" t="s">
        <v>23</v>
      </c>
      <c r="F901" t="s">
        <v>26</v>
      </c>
      <c r="G901" t="s">
        <v>19</v>
      </c>
    </row>
    <row r="902" spans="1:7" x14ac:dyDescent="0.25">
      <c r="A902" t="s">
        <v>436</v>
      </c>
      <c r="B902" s="2">
        <v>171</v>
      </c>
      <c r="C902" s="2">
        <v>17</v>
      </c>
      <c r="D902" s="1">
        <v>6</v>
      </c>
      <c r="E902" t="s">
        <v>23</v>
      </c>
      <c r="F902" t="s">
        <v>81</v>
      </c>
      <c r="G902" t="s">
        <v>28</v>
      </c>
    </row>
    <row r="903" spans="1:7" x14ac:dyDescent="0.25">
      <c r="A903" t="s">
        <v>179</v>
      </c>
      <c r="B903" s="2">
        <v>102</v>
      </c>
      <c r="C903" s="2">
        <v>13</v>
      </c>
      <c r="D903" s="1">
        <v>2</v>
      </c>
      <c r="E903" t="s">
        <v>23</v>
      </c>
      <c r="F903" t="s">
        <v>57</v>
      </c>
      <c r="G903" t="s">
        <v>19</v>
      </c>
    </row>
    <row r="904" spans="1:7" x14ac:dyDescent="0.25">
      <c r="A904" t="s">
        <v>171</v>
      </c>
      <c r="B904" s="2">
        <v>98</v>
      </c>
      <c r="C904" s="2">
        <v>12</v>
      </c>
      <c r="D904" s="1">
        <v>2</v>
      </c>
      <c r="E904" t="s">
        <v>23</v>
      </c>
      <c r="F904" t="s">
        <v>30</v>
      </c>
      <c r="G904" t="s">
        <v>19</v>
      </c>
    </row>
    <row r="905" spans="1:7" x14ac:dyDescent="0.25">
      <c r="A905" t="s">
        <v>323</v>
      </c>
      <c r="B905" s="2">
        <v>59</v>
      </c>
      <c r="C905" s="2">
        <v>10</v>
      </c>
      <c r="D905" s="1">
        <v>4</v>
      </c>
      <c r="E905" t="s">
        <v>23</v>
      </c>
      <c r="F905" t="s">
        <v>63</v>
      </c>
      <c r="G905" t="s">
        <v>10</v>
      </c>
    </row>
    <row r="906" spans="1:7" x14ac:dyDescent="0.25">
      <c r="A906" t="s">
        <v>328</v>
      </c>
      <c r="B906" s="2">
        <v>189</v>
      </c>
      <c r="C906" s="2">
        <v>60</v>
      </c>
      <c r="D906" s="1">
        <v>4</v>
      </c>
      <c r="E906" t="s">
        <v>12</v>
      </c>
      <c r="F906" t="s">
        <v>131</v>
      </c>
      <c r="G906" t="s">
        <v>82</v>
      </c>
    </row>
    <row r="907" spans="1:7" x14ac:dyDescent="0.25">
      <c r="A907" t="s">
        <v>437</v>
      </c>
      <c r="B907" s="2">
        <v>58</v>
      </c>
      <c r="C907" s="2">
        <v>-52</v>
      </c>
      <c r="D907" s="1">
        <v>3</v>
      </c>
      <c r="E907" t="s">
        <v>12</v>
      </c>
      <c r="F907" t="s">
        <v>13</v>
      </c>
      <c r="G907" t="s">
        <v>10</v>
      </c>
    </row>
    <row r="908" spans="1:7" x14ac:dyDescent="0.25">
      <c r="A908" t="s">
        <v>125</v>
      </c>
      <c r="B908" s="2">
        <v>60</v>
      </c>
      <c r="C908" s="2">
        <v>3</v>
      </c>
      <c r="D908" s="1">
        <v>3</v>
      </c>
      <c r="E908" t="s">
        <v>23</v>
      </c>
      <c r="F908" t="s">
        <v>26</v>
      </c>
      <c r="G908" t="s">
        <v>28</v>
      </c>
    </row>
    <row r="909" spans="1:7" x14ac:dyDescent="0.25">
      <c r="A909" t="s">
        <v>438</v>
      </c>
      <c r="B909" s="2">
        <v>58</v>
      </c>
      <c r="C909" s="2">
        <v>-8</v>
      </c>
      <c r="D909" s="1">
        <v>2</v>
      </c>
      <c r="E909" t="s">
        <v>23</v>
      </c>
      <c r="F909" t="s">
        <v>26</v>
      </c>
      <c r="G909" t="s">
        <v>10</v>
      </c>
    </row>
    <row r="910" spans="1:7" x14ac:dyDescent="0.25">
      <c r="A910" t="s">
        <v>198</v>
      </c>
      <c r="B910" s="2">
        <v>94</v>
      </c>
      <c r="C910" s="2">
        <v>20</v>
      </c>
      <c r="D910" s="1">
        <v>2</v>
      </c>
      <c r="E910" t="s">
        <v>12</v>
      </c>
      <c r="F910" t="s">
        <v>131</v>
      </c>
      <c r="G910" t="s">
        <v>28</v>
      </c>
    </row>
    <row r="911" spans="1:7" x14ac:dyDescent="0.25">
      <c r="A911" t="s">
        <v>149</v>
      </c>
      <c r="B911" s="2">
        <v>193</v>
      </c>
      <c r="C911" s="2">
        <v>-166</v>
      </c>
      <c r="D911" s="1">
        <v>3</v>
      </c>
      <c r="E911" t="s">
        <v>23</v>
      </c>
      <c r="F911" t="s">
        <v>26</v>
      </c>
      <c r="G911" t="s">
        <v>14</v>
      </c>
    </row>
    <row r="912" spans="1:7" x14ac:dyDescent="0.25">
      <c r="A912" t="s">
        <v>235</v>
      </c>
      <c r="B912" s="2">
        <v>199</v>
      </c>
      <c r="C912" s="2">
        <v>0</v>
      </c>
      <c r="D912" s="1">
        <v>4</v>
      </c>
      <c r="E912" t="s">
        <v>23</v>
      </c>
      <c r="F912" t="s">
        <v>57</v>
      </c>
      <c r="G912" t="s">
        <v>14</v>
      </c>
    </row>
    <row r="913" spans="1:7" x14ac:dyDescent="0.25">
      <c r="A913" t="s">
        <v>165</v>
      </c>
      <c r="B913" s="2">
        <v>202</v>
      </c>
      <c r="C913" s="2">
        <v>89</v>
      </c>
      <c r="D913" s="1">
        <v>9</v>
      </c>
      <c r="E913" t="s">
        <v>23</v>
      </c>
      <c r="F913" t="s">
        <v>81</v>
      </c>
      <c r="G913" t="s">
        <v>14</v>
      </c>
    </row>
    <row r="914" spans="1:7" x14ac:dyDescent="0.25">
      <c r="A914" t="s">
        <v>165</v>
      </c>
      <c r="B914" s="2">
        <v>58</v>
      </c>
      <c r="C914" s="2">
        <v>17</v>
      </c>
      <c r="D914" s="1">
        <v>2</v>
      </c>
      <c r="E914" t="s">
        <v>23</v>
      </c>
      <c r="F914" t="s">
        <v>30</v>
      </c>
      <c r="G914" t="s">
        <v>10</v>
      </c>
    </row>
    <row r="915" spans="1:7" x14ac:dyDescent="0.25">
      <c r="A915" t="s">
        <v>439</v>
      </c>
      <c r="B915" s="2">
        <v>57</v>
      </c>
      <c r="C915" s="2">
        <v>-28</v>
      </c>
      <c r="D915" s="1">
        <v>2</v>
      </c>
      <c r="E915" t="s">
        <v>23</v>
      </c>
      <c r="F915" t="s">
        <v>32</v>
      </c>
      <c r="G915" t="s">
        <v>10</v>
      </c>
    </row>
    <row r="916" spans="1:7" x14ac:dyDescent="0.25">
      <c r="A916" t="s">
        <v>134</v>
      </c>
      <c r="B916" s="2">
        <v>204</v>
      </c>
      <c r="C916" s="2">
        <v>-94</v>
      </c>
      <c r="D916" s="1">
        <v>4</v>
      </c>
      <c r="E916" t="s">
        <v>23</v>
      </c>
      <c r="F916" t="s">
        <v>30</v>
      </c>
      <c r="G916" t="s">
        <v>14</v>
      </c>
    </row>
    <row r="917" spans="1:7" x14ac:dyDescent="0.25">
      <c r="A917" t="s">
        <v>440</v>
      </c>
      <c r="B917" s="2">
        <v>98</v>
      </c>
      <c r="C917" s="2">
        <v>-12</v>
      </c>
      <c r="D917" s="1">
        <v>2</v>
      </c>
      <c r="E917" t="s">
        <v>8</v>
      </c>
      <c r="F917" t="s">
        <v>9</v>
      </c>
      <c r="G917" t="s">
        <v>19</v>
      </c>
    </row>
    <row r="918" spans="1:7" x14ac:dyDescent="0.25">
      <c r="A918" t="s">
        <v>141</v>
      </c>
      <c r="B918" s="2">
        <v>22</v>
      </c>
      <c r="C918" s="2">
        <v>-12</v>
      </c>
      <c r="D918" s="1">
        <v>3</v>
      </c>
      <c r="E918" t="s">
        <v>23</v>
      </c>
      <c r="F918" t="s">
        <v>57</v>
      </c>
      <c r="G918" t="s">
        <v>10</v>
      </c>
    </row>
    <row r="919" spans="1:7" x14ac:dyDescent="0.25">
      <c r="A919" t="s">
        <v>113</v>
      </c>
      <c r="B919" s="2">
        <v>97</v>
      </c>
      <c r="C919" s="2">
        <v>17</v>
      </c>
      <c r="D919" s="1">
        <v>2</v>
      </c>
      <c r="E919" t="s">
        <v>23</v>
      </c>
      <c r="F919" t="s">
        <v>57</v>
      </c>
      <c r="G919" t="s">
        <v>19</v>
      </c>
    </row>
    <row r="920" spans="1:7" x14ac:dyDescent="0.25">
      <c r="A920" t="s">
        <v>332</v>
      </c>
      <c r="B920" s="2">
        <v>57</v>
      </c>
      <c r="C920" s="2">
        <v>24</v>
      </c>
      <c r="D920" s="1">
        <v>5</v>
      </c>
      <c r="E920" t="s">
        <v>23</v>
      </c>
      <c r="F920" t="s">
        <v>63</v>
      </c>
      <c r="G920" t="s">
        <v>10</v>
      </c>
    </row>
    <row r="921" spans="1:7" x14ac:dyDescent="0.25">
      <c r="A921" t="s">
        <v>441</v>
      </c>
      <c r="B921" s="2">
        <v>97</v>
      </c>
      <c r="C921" s="2">
        <v>14</v>
      </c>
      <c r="D921" s="1">
        <v>2</v>
      </c>
      <c r="E921" t="s">
        <v>23</v>
      </c>
      <c r="F921" t="s">
        <v>81</v>
      </c>
      <c r="G921" t="s">
        <v>19</v>
      </c>
    </row>
    <row r="922" spans="1:7" x14ac:dyDescent="0.25">
      <c r="A922" t="s">
        <v>203</v>
      </c>
      <c r="B922" s="2">
        <v>97</v>
      </c>
      <c r="C922" s="2">
        <v>17</v>
      </c>
      <c r="D922" s="1">
        <v>2</v>
      </c>
      <c r="E922" t="s">
        <v>23</v>
      </c>
      <c r="F922" t="s">
        <v>57</v>
      </c>
      <c r="G922" t="s">
        <v>19</v>
      </c>
    </row>
    <row r="923" spans="1:7" x14ac:dyDescent="0.25">
      <c r="A923" t="s">
        <v>121</v>
      </c>
      <c r="B923" s="2">
        <v>96</v>
      </c>
      <c r="C923" s="2">
        <v>22</v>
      </c>
      <c r="D923" s="1">
        <v>5</v>
      </c>
      <c r="E923" t="s">
        <v>23</v>
      </c>
      <c r="F923" t="s">
        <v>57</v>
      </c>
      <c r="G923" t="s">
        <v>19</v>
      </c>
    </row>
    <row r="924" spans="1:7" x14ac:dyDescent="0.25">
      <c r="A924" t="s">
        <v>146</v>
      </c>
      <c r="B924" s="2">
        <v>94</v>
      </c>
      <c r="C924" s="2">
        <v>27</v>
      </c>
      <c r="D924" s="1">
        <v>2</v>
      </c>
      <c r="E924" t="s">
        <v>23</v>
      </c>
      <c r="F924" t="s">
        <v>142</v>
      </c>
      <c r="G924" t="s">
        <v>19</v>
      </c>
    </row>
    <row r="925" spans="1:7" x14ac:dyDescent="0.25">
      <c r="A925" t="s">
        <v>292</v>
      </c>
      <c r="B925" s="2">
        <v>26</v>
      </c>
      <c r="C925" s="2">
        <v>-17</v>
      </c>
      <c r="D925" s="1">
        <v>1</v>
      </c>
      <c r="E925" t="s">
        <v>23</v>
      </c>
      <c r="F925" t="s">
        <v>57</v>
      </c>
      <c r="G925" t="s">
        <v>10</v>
      </c>
    </row>
    <row r="926" spans="1:7" x14ac:dyDescent="0.25">
      <c r="A926" t="s">
        <v>442</v>
      </c>
      <c r="B926" s="2">
        <v>93</v>
      </c>
      <c r="C926" s="2">
        <v>44</v>
      </c>
      <c r="D926" s="1">
        <v>2</v>
      </c>
      <c r="E926" t="s">
        <v>23</v>
      </c>
      <c r="F926" t="s">
        <v>57</v>
      </c>
      <c r="G926" t="s">
        <v>19</v>
      </c>
    </row>
    <row r="927" spans="1:7" x14ac:dyDescent="0.25">
      <c r="A927" t="s">
        <v>54</v>
      </c>
      <c r="B927" s="2">
        <v>93</v>
      </c>
      <c r="C927" s="2">
        <v>-65</v>
      </c>
      <c r="D927" s="1">
        <v>4</v>
      </c>
      <c r="E927" t="s">
        <v>23</v>
      </c>
      <c r="F927" t="s">
        <v>57</v>
      </c>
      <c r="G927" t="s">
        <v>19</v>
      </c>
    </row>
    <row r="928" spans="1:7" x14ac:dyDescent="0.25">
      <c r="A928" t="s">
        <v>254</v>
      </c>
      <c r="B928" s="2">
        <v>92</v>
      </c>
      <c r="C928" s="2">
        <v>5</v>
      </c>
      <c r="D928" s="1">
        <v>6</v>
      </c>
      <c r="E928" t="s">
        <v>23</v>
      </c>
      <c r="F928" t="s">
        <v>30</v>
      </c>
      <c r="G928" t="s">
        <v>19</v>
      </c>
    </row>
    <row r="929" spans="1:7" x14ac:dyDescent="0.25">
      <c r="A929" t="s">
        <v>31</v>
      </c>
      <c r="B929" s="2">
        <v>57</v>
      </c>
      <c r="C929" s="2">
        <v>27</v>
      </c>
      <c r="D929" s="1">
        <v>2</v>
      </c>
      <c r="E929" t="s">
        <v>23</v>
      </c>
      <c r="F929" t="s">
        <v>81</v>
      </c>
      <c r="G929" t="s">
        <v>10</v>
      </c>
    </row>
    <row r="930" spans="1:7" x14ac:dyDescent="0.25">
      <c r="A930" t="s">
        <v>170</v>
      </c>
      <c r="B930" s="2">
        <v>57</v>
      </c>
      <c r="C930" s="2">
        <v>7</v>
      </c>
      <c r="D930" s="1">
        <v>3</v>
      </c>
      <c r="E930" t="s">
        <v>12</v>
      </c>
      <c r="F930" t="s">
        <v>131</v>
      </c>
      <c r="G930" t="s">
        <v>10</v>
      </c>
    </row>
    <row r="931" spans="1:7" x14ac:dyDescent="0.25">
      <c r="A931" t="s">
        <v>443</v>
      </c>
      <c r="B931" s="2">
        <v>57</v>
      </c>
      <c r="C931" s="2">
        <v>21</v>
      </c>
      <c r="D931" s="1">
        <v>4</v>
      </c>
      <c r="E931" t="s">
        <v>23</v>
      </c>
      <c r="F931" t="s">
        <v>63</v>
      </c>
      <c r="G931" t="s">
        <v>10</v>
      </c>
    </row>
    <row r="932" spans="1:7" x14ac:dyDescent="0.25">
      <c r="A932" t="s">
        <v>271</v>
      </c>
      <c r="B932" s="2">
        <v>128</v>
      </c>
      <c r="C932" s="2">
        <v>4</v>
      </c>
      <c r="D932" s="1">
        <v>3</v>
      </c>
      <c r="E932" t="s">
        <v>23</v>
      </c>
      <c r="F932" t="s">
        <v>26</v>
      </c>
      <c r="G932" t="s">
        <v>10</v>
      </c>
    </row>
    <row r="933" spans="1:7" x14ac:dyDescent="0.25">
      <c r="A933" t="s">
        <v>64</v>
      </c>
      <c r="B933" s="2">
        <v>89</v>
      </c>
      <c r="C933" s="2">
        <v>-4</v>
      </c>
      <c r="D933" s="1">
        <v>5</v>
      </c>
      <c r="E933" t="s">
        <v>23</v>
      </c>
      <c r="F933" t="s">
        <v>26</v>
      </c>
      <c r="G933" t="s">
        <v>19</v>
      </c>
    </row>
    <row r="934" spans="1:7" x14ac:dyDescent="0.25">
      <c r="A934" t="s">
        <v>164</v>
      </c>
      <c r="B934" s="2">
        <v>221</v>
      </c>
      <c r="C934" s="2">
        <v>26</v>
      </c>
      <c r="D934" s="1">
        <v>7</v>
      </c>
      <c r="E934" t="s">
        <v>12</v>
      </c>
      <c r="F934" t="s">
        <v>131</v>
      </c>
      <c r="G934" t="s">
        <v>10</v>
      </c>
    </row>
    <row r="935" spans="1:7" x14ac:dyDescent="0.25">
      <c r="A935" t="s">
        <v>272</v>
      </c>
      <c r="B935" s="2">
        <v>205</v>
      </c>
      <c r="C935" s="2">
        <v>-119</v>
      </c>
      <c r="D935" s="1">
        <v>3</v>
      </c>
      <c r="E935" t="s">
        <v>23</v>
      </c>
      <c r="F935" t="s">
        <v>26</v>
      </c>
      <c r="G935" t="s">
        <v>82</v>
      </c>
    </row>
    <row r="936" spans="1:7" x14ac:dyDescent="0.25">
      <c r="A936" t="s">
        <v>340</v>
      </c>
      <c r="B936" s="2">
        <v>191</v>
      </c>
      <c r="C936" s="2">
        <v>51</v>
      </c>
      <c r="D936" s="1">
        <v>5</v>
      </c>
      <c r="E936" t="s">
        <v>23</v>
      </c>
      <c r="F936" t="s">
        <v>142</v>
      </c>
      <c r="G936" t="s">
        <v>28</v>
      </c>
    </row>
    <row r="937" spans="1:7" x14ac:dyDescent="0.25">
      <c r="A937" t="s">
        <v>211</v>
      </c>
      <c r="B937" s="2">
        <v>206</v>
      </c>
      <c r="C937" s="2">
        <v>18</v>
      </c>
      <c r="D937" s="1">
        <v>4</v>
      </c>
      <c r="E937" t="s">
        <v>23</v>
      </c>
      <c r="F937" t="s">
        <v>30</v>
      </c>
      <c r="G937" t="s">
        <v>82</v>
      </c>
    </row>
    <row r="938" spans="1:7" x14ac:dyDescent="0.25">
      <c r="A938" t="s">
        <v>224</v>
      </c>
      <c r="B938" s="2">
        <v>56</v>
      </c>
      <c r="C938" s="2">
        <v>0</v>
      </c>
      <c r="D938" s="1">
        <v>4</v>
      </c>
      <c r="E938" t="s">
        <v>23</v>
      </c>
      <c r="F938" t="s">
        <v>30</v>
      </c>
      <c r="G938" t="s">
        <v>10</v>
      </c>
    </row>
    <row r="939" spans="1:7" x14ac:dyDescent="0.25">
      <c r="A939" t="s">
        <v>234</v>
      </c>
      <c r="B939" s="2">
        <v>88</v>
      </c>
      <c r="C939" s="2">
        <v>16</v>
      </c>
      <c r="D939" s="1">
        <v>4</v>
      </c>
      <c r="E939" t="s">
        <v>23</v>
      </c>
      <c r="F939" t="s">
        <v>57</v>
      </c>
      <c r="G939" t="s">
        <v>19</v>
      </c>
    </row>
    <row r="940" spans="1:7" x14ac:dyDescent="0.25">
      <c r="A940" t="s">
        <v>326</v>
      </c>
      <c r="B940" s="2">
        <v>224</v>
      </c>
      <c r="C940" s="2">
        <v>58</v>
      </c>
      <c r="D940" s="1">
        <v>3</v>
      </c>
      <c r="E940" t="s">
        <v>8</v>
      </c>
      <c r="F940" t="s">
        <v>21</v>
      </c>
      <c r="G940" t="s">
        <v>28</v>
      </c>
    </row>
    <row r="941" spans="1:7" x14ac:dyDescent="0.25">
      <c r="A941" t="s">
        <v>444</v>
      </c>
      <c r="B941" s="2">
        <v>193</v>
      </c>
      <c r="C941" s="2">
        <v>8</v>
      </c>
      <c r="D941" s="1">
        <v>4</v>
      </c>
      <c r="E941" t="s">
        <v>23</v>
      </c>
      <c r="F941" t="s">
        <v>81</v>
      </c>
      <c r="G941" t="s">
        <v>28</v>
      </c>
    </row>
    <row r="942" spans="1:7" x14ac:dyDescent="0.25">
      <c r="A942" t="s">
        <v>132</v>
      </c>
      <c r="B942" s="2">
        <v>87</v>
      </c>
      <c r="C942" s="2">
        <v>36</v>
      </c>
      <c r="D942" s="1">
        <v>5</v>
      </c>
      <c r="E942" t="s">
        <v>23</v>
      </c>
      <c r="F942" t="s">
        <v>57</v>
      </c>
      <c r="G942" t="s">
        <v>19</v>
      </c>
    </row>
    <row r="943" spans="1:7" x14ac:dyDescent="0.25">
      <c r="A943" t="s">
        <v>173</v>
      </c>
      <c r="B943" s="2">
        <v>189</v>
      </c>
      <c r="C943" s="2">
        <v>4</v>
      </c>
      <c r="D943" s="1">
        <v>1</v>
      </c>
      <c r="E943" t="s">
        <v>23</v>
      </c>
      <c r="F943" t="s">
        <v>26</v>
      </c>
      <c r="G943" t="s">
        <v>28</v>
      </c>
    </row>
    <row r="944" spans="1:7" x14ac:dyDescent="0.25">
      <c r="A944" t="s">
        <v>227</v>
      </c>
      <c r="B944" s="2">
        <v>55</v>
      </c>
      <c r="C944" s="2">
        <v>-33</v>
      </c>
      <c r="D944" s="1">
        <v>2</v>
      </c>
      <c r="E944" t="s">
        <v>12</v>
      </c>
      <c r="F944" t="s">
        <v>13</v>
      </c>
      <c r="G944" t="s">
        <v>10</v>
      </c>
    </row>
    <row r="945" spans="1:7" x14ac:dyDescent="0.25">
      <c r="A945" t="s">
        <v>445</v>
      </c>
      <c r="B945" s="2">
        <v>85</v>
      </c>
      <c r="C945" s="2">
        <v>-1</v>
      </c>
      <c r="D945" s="1">
        <v>3</v>
      </c>
      <c r="E945" t="s">
        <v>23</v>
      </c>
      <c r="F945" t="s">
        <v>26</v>
      </c>
      <c r="G945" t="s">
        <v>19</v>
      </c>
    </row>
    <row r="946" spans="1:7" x14ac:dyDescent="0.25">
      <c r="A946" t="s">
        <v>157</v>
      </c>
      <c r="B946" s="2">
        <v>252</v>
      </c>
      <c r="C946" s="2">
        <v>56</v>
      </c>
      <c r="D946" s="1">
        <v>2</v>
      </c>
      <c r="E946" t="s">
        <v>8</v>
      </c>
      <c r="F946" t="s">
        <v>21</v>
      </c>
      <c r="G946" t="s">
        <v>28</v>
      </c>
    </row>
    <row r="947" spans="1:7" x14ac:dyDescent="0.25">
      <c r="A947" t="s">
        <v>171</v>
      </c>
      <c r="B947" s="2">
        <v>197</v>
      </c>
      <c r="C947" s="2">
        <v>73</v>
      </c>
      <c r="D947" s="1">
        <v>1</v>
      </c>
      <c r="E947" t="s">
        <v>12</v>
      </c>
      <c r="F947" t="s">
        <v>16</v>
      </c>
      <c r="G947" t="s">
        <v>10</v>
      </c>
    </row>
    <row r="948" spans="1:7" x14ac:dyDescent="0.25">
      <c r="A948" t="s">
        <v>33</v>
      </c>
      <c r="B948" s="2">
        <v>17</v>
      </c>
      <c r="C948" s="2">
        <v>-3</v>
      </c>
      <c r="D948" s="1">
        <v>2</v>
      </c>
      <c r="E948" t="s">
        <v>23</v>
      </c>
      <c r="F948" t="s">
        <v>57</v>
      </c>
      <c r="G948" t="s">
        <v>28</v>
      </c>
    </row>
    <row r="949" spans="1:7" x14ac:dyDescent="0.25">
      <c r="A949" t="s">
        <v>446</v>
      </c>
      <c r="B949" s="2">
        <v>100</v>
      </c>
      <c r="C949" s="2">
        <v>28</v>
      </c>
      <c r="D949" s="1">
        <v>2</v>
      </c>
      <c r="E949" t="s">
        <v>23</v>
      </c>
      <c r="F949" t="s">
        <v>30</v>
      </c>
      <c r="G949" t="s">
        <v>28</v>
      </c>
    </row>
    <row r="950" spans="1:7" x14ac:dyDescent="0.25">
      <c r="A950" t="s">
        <v>67</v>
      </c>
      <c r="B950" s="2">
        <v>80</v>
      </c>
      <c r="C950" s="2">
        <v>-19</v>
      </c>
      <c r="D950" s="1">
        <v>5</v>
      </c>
      <c r="E950" t="s">
        <v>23</v>
      </c>
      <c r="F950" t="s">
        <v>57</v>
      </c>
      <c r="G950" t="s">
        <v>28</v>
      </c>
    </row>
    <row r="951" spans="1:7" x14ac:dyDescent="0.25">
      <c r="A951" t="s">
        <v>169</v>
      </c>
      <c r="B951" s="2">
        <v>75</v>
      </c>
      <c r="C951" s="2">
        <v>29</v>
      </c>
      <c r="D951" s="1">
        <v>1</v>
      </c>
      <c r="E951" t="s">
        <v>23</v>
      </c>
      <c r="F951" t="s">
        <v>24</v>
      </c>
      <c r="G951" t="s">
        <v>28</v>
      </c>
    </row>
    <row r="952" spans="1:7" x14ac:dyDescent="0.25">
      <c r="A952" t="s">
        <v>67</v>
      </c>
      <c r="B952" s="2">
        <v>26</v>
      </c>
      <c r="C952" s="2">
        <v>4</v>
      </c>
      <c r="D952" s="1">
        <v>2</v>
      </c>
      <c r="E952" t="s">
        <v>23</v>
      </c>
      <c r="F952" t="s">
        <v>26</v>
      </c>
      <c r="G952" t="s">
        <v>28</v>
      </c>
    </row>
    <row r="953" spans="1:7" x14ac:dyDescent="0.25">
      <c r="A953" t="s">
        <v>447</v>
      </c>
      <c r="B953" s="2">
        <v>55</v>
      </c>
      <c r="C953" s="2">
        <v>12</v>
      </c>
      <c r="D953" s="1">
        <v>5</v>
      </c>
      <c r="E953" t="s">
        <v>23</v>
      </c>
      <c r="F953" t="s">
        <v>43</v>
      </c>
      <c r="G953" t="s">
        <v>10</v>
      </c>
    </row>
    <row r="954" spans="1:7" x14ac:dyDescent="0.25">
      <c r="A954" t="s">
        <v>324</v>
      </c>
      <c r="B954" s="2">
        <v>157</v>
      </c>
      <c r="C954" s="2">
        <v>5</v>
      </c>
      <c r="D954" s="1">
        <v>9</v>
      </c>
      <c r="E954" t="s">
        <v>23</v>
      </c>
      <c r="F954" t="s">
        <v>26</v>
      </c>
      <c r="G954" t="s">
        <v>28</v>
      </c>
    </row>
    <row r="955" spans="1:7" x14ac:dyDescent="0.25">
      <c r="A955" t="s">
        <v>119</v>
      </c>
      <c r="B955" s="2">
        <v>200</v>
      </c>
      <c r="C955" s="2">
        <v>-60</v>
      </c>
      <c r="D955" s="1">
        <v>4</v>
      </c>
      <c r="E955" t="s">
        <v>12</v>
      </c>
      <c r="F955" t="s">
        <v>16</v>
      </c>
      <c r="G955" t="s">
        <v>28</v>
      </c>
    </row>
    <row r="956" spans="1:7" x14ac:dyDescent="0.25">
      <c r="A956" t="s">
        <v>223</v>
      </c>
      <c r="B956" s="2">
        <v>230</v>
      </c>
      <c r="C956" s="2">
        <v>5</v>
      </c>
      <c r="D956" s="1">
        <v>2</v>
      </c>
      <c r="E956" t="s">
        <v>23</v>
      </c>
      <c r="F956" t="s">
        <v>26</v>
      </c>
      <c r="G956" t="s">
        <v>28</v>
      </c>
    </row>
    <row r="957" spans="1:7" x14ac:dyDescent="0.25">
      <c r="A957" t="s">
        <v>211</v>
      </c>
      <c r="B957" s="2">
        <v>213</v>
      </c>
      <c r="C957" s="2">
        <v>-145</v>
      </c>
      <c r="D957" s="1">
        <v>3</v>
      </c>
      <c r="E957" t="s">
        <v>12</v>
      </c>
      <c r="F957" t="s">
        <v>16</v>
      </c>
      <c r="G957" t="s">
        <v>82</v>
      </c>
    </row>
    <row r="958" spans="1:7" x14ac:dyDescent="0.25">
      <c r="A958" t="s">
        <v>193</v>
      </c>
      <c r="B958" s="2">
        <v>55</v>
      </c>
      <c r="C958" s="2">
        <v>4</v>
      </c>
      <c r="D958" s="1">
        <v>2</v>
      </c>
      <c r="E958" t="s">
        <v>23</v>
      </c>
      <c r="F958" t="s">
        <v>57</v>
      </c>
      <c r="G958" t="s">
        <v>10</v>
      </c>
    </row>
    <row r="959" spans="1:7" x14ac:dyDescent="0.25">
      <c r="A959" t="s">
        <v>448</v>
      </c>
      <c r="B959" s="2">
        <v>220</v>
      </c>
      <c r="C959" s="2">
        <v>-19</v>
      </c>
      <c r="D959" s="1">
        <v>2</v>
      </c>
      <c r="E959" t="s">
        <v>23</v>
      </c>
      <c r="F959" t="s">
        <v>26</v>
      </c>
      <c r="G959" t="s">
        <v>82</v>
      </c>
    </row>
    <row r="960" spans="1:7" x14ac:dyDescent="0.25">
      <c r="A960" t="s">
        <v>74</v>
      </c>
      <c r="B960" s="2">
        <v>150</v>
      </c>
      <c r="C960" s="2">
        <v>32</v>
      </c>
      <c r="D960" s="1">
        <v>3</v>
      </c>
      <c r="E960" t="s">
        <v>23</v>
      </c>
      <c r="F960" t="s">
        <v>30</v>
      </c>
      <c r="G960" t="s">
        <v>10</v>
      </c>
    </row>
    <row r="961" spans="1:7" x14ac:dyDescent="0.25">
      <c r="A961" t="s">
        <v>136</v>
      </c>
      <c r="B961" s="2">
        <v>203</v>
      </c>
      <c r="C961" s="2">
        <v>84</v>
      </c>
      <c r="D961" s="1">
        <v>2</v>
      </c>
      <c r="E961" t="s">
        <v>8</v>
      </c>
      <c r="F961" t="s">
        <v>18</v>
      </c>
      <c r="G961" t="s">
        <v>28</v>
      </c>
    </row>
    <row r="962" spans="1:7" x14ac:dyDescent="0.25">
      <c r="A962" t="s">
        <v>167</v>
      </c>
      <c r="B962" s="2">
        <v>93</v>
      </c>
      <c r="C962" s="2">
        <v>31</v>
      </c>
      <c r="D962" s="1">
        <v>3</v>
      </c>
      <c r="E962" t="s">
        <v>8</v>
      </c>
      <c r="F962" t="s">
        <v>73</v>
      </c>
      <c r="G962" t="s">
        <v>28</v>
      </c>
    </row>
    <row r="963" spans="1:7" x14ac:dyDescent="0.25">
      <c r="A963" t="s">
        <v>449</v>
      </c>
      <c r="B963" s="2">
        <v>290</v>
      </c>
      <c r="C963" s="2">
        <v>35</v>
      </c>
      <c r="D963" s="1">
        <v>6</v>
      </c>
      <c r="E963" t="s">
        <v>23</v>
      </c>
      <c r="F963" t="s">
        <v>30</v>
      </c>
      <c r="G963" t="s">
        <v>10</v>
      </c>
    </row>
    <row r="964" spans="1:7" x14ac:dyDescent="0.25">
      <c r="A964" t="s">
        <v>269</v>
      </c>
      <c r="B964" s="2">
        <v>48</v>
      </c>
      <c r="C964" s="2">
        <v>6</v>
      </c>
      <c r="D964" s="1">
        <v>1</v>
      </c>
      <c r="E964" t="s">
        <v>23</v>
      </c>
      <c r="F964" t="s">
        <v>26</v>
      </c>
      <c r="G964" t="s">
        <v>10</v>
      </c>
    </row>
    <row r="965" spans="1:7" x14ac:dyDescent="0.25">
      <c r="A965" t="s">
        <v>254</v>
      </c>
      <c r="B965" s="2">
        <v>221</v>
      </c>
      <c r="C965" s="2">
        <v>35</v>
      </c>
      <c r="D965" s="1">
        <v>4</v>
      </c>
      <c r="E965" t="s">
        <v>8</v>
      </c>
      <c r="F965" t="s">
        <v>73</v>
      </c>
      <c r="G965" t="s">
        <v>82</v>
      </c>
    </row>
    <row r="966" spans="1:7" x14ac:dyDescent="0.25">
      <c r="A966" t="s">
        <v>450</v>
      </c>
      <c r="B966" s="2">
        <v>55</v>
      </c>
      <c r="C966" s="2">
        <v>18</v>
      </c>
      <c r="D966" s="1">
        <v>2</v>
      </c>
      <c r="E966" t="s">
        <v>23</v>
      </c>
      <c r="F966" t="s">
        <v>32</v>
      </c>
      <c r="G966" t="s">
        <v>10</v>
      </c>
    </row>
    <row r="967" spans="1:7" x14ac:dyDescent="0.25">
      <c r="A967" t="s">
        <v>117</v>
      </c>
      <c r="B967" s="2">
        <v>227</v>
      </c>
      <c r="C967" s="2">
        <v>102</v>
      </c>
      <c r="D967" s="1">
        <v>8</v>
      </c>
      <c r="E967" t="s">
        <v>8</v>
      </c>
      <c r="F967" t="s">
        <v>73</v>
      </c>
      <c r="G967" t="s">
        <v>82</v>
      </c>
    </row>
    <row r="968" spans="1:7" x14ac:dyDescent="0.25">
      <c r="A968" t="s">
        <v>451</v>
      </c>
      <c r="B968" s="2">
        <v>55</v>
      </c>
      <c r="C968" s="2">
        <v>-39</v>
      </c>
      <c r="D968" s="1">
        <v>4</v>
      </c>
      <c r="E968" t="s">
        <v>23</v>
      </c>
      <c r="F968" t="s">
        <v>57</v>
      </c>
      <c r="G968" t="s">
        <v>10</v>
      </c>
    </row>
    <row r="969" spans="1:7" x14ac:dyDescent="0.25">
      <c r="A969" t="s">
        <v>449</v>
      </c>
      <c r="B969" s="2">
        <v>207</v>
      </c>
      <c r="C969" s="2">
        <v>33</v>
      </c>
      <c r="D969" s="1">
        <v>2</v>
      </c>
      <c r="E969" t="s">
        <v>8</v>
      </c>
      <c r="F969" t="s">
        <v>73</v>
      </c>
      <c r="G969" t="s">
        <v>28</v>
      </c>
    </row>
    <row r="970" spans="1:7" x14ac:dyDescent="0.25">
      <c r="A970" t="s">
        <v>80</v>
      </c>
      <c r="B970" s="2">
        <v>64</v>
      </c>
      <c r="C970" s="2">
        <v>6</v>
      </c>
      <c r="D970" s="1">
        <v>4</v>
      </c>
      <c r="E970" t="s">
        <v>23</v>
      </c>
      <c r="F970" t="s">
        <v>26</v>
      </c>
      <c r="G970" t="s">
        <v>10</v>
      </c>
    </row>
    <row r="971" spans="1:7" x14ac:dyDescent="0.25">
      <c r="A971" t="s">
        <v>235</v>
      </c>
      <c r="B971" s="2">
        <v>89</v>
      </c>
      <c r="C971" s="2">
        <v>6</v>
      </c>
      <c r="D971" s="1">
        <v>5</v>
      </c>
      <c r="E971" t="s">
        <v>23</v>
      </c>
      <c r="F971" t="s">
        <v>26</v>
      </c>
      <c r="G971" t="s">
        <v>10</v>
      </c>
    </row>
    <row r="972" spans="1:7" x14ac:dyDescent="0.25">
      <c r="A972" t="s">
        <v>46</v>
      </c>
      <c r="B972" s="2">
        <v>54</v>
      </c>
      <c r="C972" s="2">
        <v>27</v>
      </c>
      <c r="D972" s="1">
        <v>2</v>
      </c>
      <c r="E972" t="s">
        <v>23</v>
      </c>
      <c r="F972" t="s">
        <v>57</v>
      </c>
      <c r="G972" t="s">
        <v>10</v>
      </c>
    </row>
    <row r="973" spans="1:7" x14ac:dyDescent="0.25">
      <c r="A973" t="s">
        <v>140</v>
      </c>
      <c r="B973" s="2">
        <v>84</v>
      </c>
      <c r="C973" s="2">
        <v>41</v>
      </c>
      <c r="D973" s="1">
        <v>3</v>
      </c>
      <c r="E973" t="s">
        <v>23</v>
      </c>
      <c r="F973" t="s">
        <v>81</v>
      </c>
      <c r="G973" t="s">
        <v>19</v>
      </c>
    </row>
    <row r="974" spans="1:7" x14ac:dyDescent="0.25">
      <c r="A974" t="s">
        <v>289</v>
      </c>
      <c r="B974" s="2">
        <v>209</v>
      </c>
      <c r="C974" s="2">
        <v>-21</v>
      </c>
      <c r="D974" s="1">
        <v>2</v>
      </c>
      <c r="E974" t="s">
        <v>8</v>
      </c>
      <c r="F974" t="s">
        <v>9</v>
      </c>
      <c r="G974" t="s">
        <v>28</v>
      </c>
    </row>
    <row r="975" spans="1:7" x14ac:dyDescent="0.25">
      <c r="A975" t="s">
        <v>200</v>
      </c>
      <c r="B975" s="2">
        <v>79</v>
      </c>
      <c r="C975" s="2">
        <v>33</v>
      </c>
      <c r="D975" s="1">
        <v>4</v>
      </c>
      <c r="E975" t="s">
        <v>23</v>
      </c>
      <c r="F975" t="s">
        <v>57</v>
      </c>
      <c r="G975" t="s">
        <v>28</v>
      </c>
    </row>
    <row r="976" spans="1:7" x14ac:dyDescent="0.25">
      <c r="A976" t="s">
        <v>452</v>
      </c>
      <c r="B976" s="2">
        <v>54</v>
      </c>
      <c r="C976" s="2">
        <v>8</v>
      </c>
      <c r="D976" s="1">
        <v>4</v>
      </c>
      <c r="E976" t="s">
        <v>23</v>
      </c>
      <c r="F976" t="s">
        <v>81</v>
      </c>
      <c r="G976" t="s">
        <v>10</v>
      </c>
    </row>
    <row r="977" spans="1:7" x14ac:dyDescent="0.25">
      <c r="A977" t="s">
        <v>94</v>
      </c>
      <c r="B977" s="2">
        <v>229</v>
      </c>
      <c r="C977" s="2">
        <v>59</v>
      </c>
      <c r="D977" s="1">
        <v>9</v>
      </c>
      <c r="E977" t="s">
        <v>23</v>
      </c>
      <c r="F977" t="s">
        <v>26</v>
      </c>
      <c r="G977" t="s">
        <v>82</v>
      </c>
    </row>
    <row r="978" spans="1:7" x14ac:dyDescent="0.25">
      <c r="A978" t="s">
        <v>378</v>
      </c>
      <c r="B978" s="2">
        <v>158</v>
      </c>
      <c r="C978" s="2">
        <v>38</v>
      </c>
      <c r="D978" s="1">
        <v>3</v>
      </c>
      <c r="E978" t="s">
        <v>23</v>
      </c>
      <c r="F978" t="s">
        <v>30</v>
      </c>
      <c r="G978" t="s">
        <v>28</v>
      </c>
    </row>
    <row r="979" spans="1:7" x14ac:dyDescent="0.25">
      <c r="A979" t="s">
        <v>179</v>
      </c>
      <c r="B979" s="2">
        <v>248</v>
      </c>
      <c r="C979" s="2">
        <v>105</v>
      </c>
      <c r="D979" s="1">
        <v>2</v>
      </c>
      <c r="E979" t="s">
        <v>8</v>
      </c>
      <c r="F979" t="s">
        <v>21</v>
      </c>
      <c r="G979" t="s">
        <v>82</v>
      </c>
    </row>
    <row r="980" spans="1:7" x14ac:dyDescent="0.25">
      <c r="A980" t="s">
        <v>41</v>
      </c>
      <c r="B980" s="2">
        <v>199</v>
      </c>
      <c r="C980" s="2">
        <v>6</v>
      </c>
      <c r="D980" s="1">
        <v>2</v>
      </c>
      <c r="E980" t="s">
        <v>23</v>
      </c>
      <c r="F980" t="s">
        <v>26</v>
      </c>
      <c r="G980" t="s">
        <v>28</v>
      </c>
    </row>
    <row r="981" spans="1:7" x14ac:dyDescent="0.25">
      <c r="A981" t="s">
        <v>35</v>
      </c>
      <c r="B981" s="2">
        <v>253</v>
      </c>
      <c r="C981" s="2">
        <v>-11</v>
      </c>
      <c r="D981" s="1">
        <v>1</v>
      </c>
      <c r="E981" t="s">
        <v>23</v>
      </c>
      <c r="F981" t="s">
        <v>24</v>
      </c>
      <c r="G981" t="s">
        <v>82</v>
      </c>
    </row>
    <row r="982" spans="1:7" x14ac:dyDescent="0.25">
      <c r="A982" t="s">
        <v>307</v>
      </c>
      <c r="B982" s="2">
        <v>257</v>
      </c>
      <c r="C982" s="2">
        <v>-252</v>
      </c>
      <c r="D982" s="1">
        <v>4</v>
      </c>
      <c r="E982" t="s">
        <v>23</v>
      </c>
      <c r="F982" t="s">
        <v>26</v>
      </c>
      <c r="G982" t="s">
        <v>82</v>
      </c>
    </row>
    <row r="983" spans="1:7" x14ac:dyDescent="0.25">
      <c r="A983" t="s">
        <v>453</v>
      </c>
      <c r="B983" s="2">
        <v>193</v>
      </c>
      <c r="C983" s="2">
        <v>33</v>
      </c>
      <c r="D983" s="1">
        <v>5</v>
      </c>
      <c r="E983" t="s">
        <v>8</v>
      </c>
      <c r="F983" t="s">
        <v>73</v>
      </c>
      <c r="G983" t="s">
        <v>10</v>
      </c>
    </row>
    <row r="984" spans="1:7" x14ac:dyDescent="0.25">
      <c r="A984" t="s">
        <v>454</v>
      </c>
      <c r="B984" s="2">
        <v>109</v>
      </c>
      <c r="C984" s="2">
        <v>35</v>
      </c>
      <c r="D984" s="1">
        <v>6</v>
      </c>
      <c r="E984" t="s">
        <v>23</v>
      </c>
      <c r="F984" t="s">
        <v>81</v>
      </c>
      <c r="G984" t="s">
        <v>10</v>
      </c>
    </row>
    <row r="985" spans="1:7" x14ac:dyDescent="0.25">
      <c r="A985" t="s">
        <v>241</v>
      </c>
      <c r="B985" s="2">
        <v>214</v>
      </c>
      <c r="C985" s="2">
        <v>30</v>
      </c>
      <c r="D985" s="1">
        <v>3</v>
      </c>
      <c r="E985" t="s">
        <v>8</v>
      </c>
      <c r="F985" t="s">
        <v>73</v>
      </c>
      <c r="G985" t="s">
        <v>10</v>
      </c>
    </row>
    <row r="986" spans="1:7" x14ac:dyDescent="0.25">
      <c r="A986" t="s">
        <v>301</v>
      </c>
      <c r="B986" s="2">
        <v>141</v>
      </c>
      <c r="C986" s="2">
        <v>7</v>
      </c>
      <c r="D986" s="1">
        <v>7</v>
      </c>
      <c r="E986" t="s">
        <v>23</v>
      </c>
      <c r="F986" t="s">
        <v>26</v>
      </c>
      <c r="G986" t="s">
        <v>10</v>
      </c>
    </row>
    <row r="987" spans="1:7" x14ac:dyDescent="0.25">
      <c r="A987" t="s">
        <v>164</v>
      </c>
      <c r="B987" s="2">
        <v>201</v>
      </c>
      <c r="C987" s="2">
        <v>32</v>
      </c>
      <c r="D987" s="1">
        <v>4</v>
      </c>
      <c r="E987" t="s">
        <v>12</v>
      </c>
      <c r="F987" t="s">
        <v>131</v>
      </c>
      <c r="G987" t="s">
        <v>28</v>
      </c>
    </row>
    <row r="988" spans="1:7" x14ac:dyDescent="0.25">
      <c r="A988" t="s">
        <v>169</v>
      </c>
      <c r="B988" s="2">
        <v>54</v>
      </c>
      <c r="C988" s="2">
        <v>12</v>
      </c>
      <c r="D988" s="1">
        <v>4</v>
      </c>
      <c r="E988" t="s">
        <v>23</v>
      </c>
      <c r="F988" t="s">
        <v>142</v>
      </c>
      <c r="G988" t="s">
        <v>10</v>
      </c>
    </row>
    <row r="989" spans="1:7" x14ac:dyDescent="0.25">
      <c r="A989" t="s">
        <v>34</v>
      </c>
      <c r="B989" s="2">
        <v>83</v>
      </c>
      <c r="C989" s="2">
        <v>6</v>
      </c>
      <c r="D989" s="1">
        <v>6</v>
      </c>
      <c r="E989" t="s">
        <v>23</v>
      </c>
      <c r="F989" t="s">
        <v>142</v>
      </c>
      <c r="G989" t="s">
        <v>14</v>
      </c>
    </row>
    <row r="990" spans="1:7" x14ac:dyDescent="0.25">
      <c r="A990" t="s">
        <v>205</v>
      </c>
      <c r="B990" s="2">
        <v>54</v>
      </c>
      <c r="C990" s="2">
        <v>-3</v>
      </c>
      <c r="D990" s="1">
        <v>3</v>
      </c>
      <c r="E990" t="s">
        <v>23</v>
      </c>
      <c r="F990" t="s">
        <v>26</v>
      </c>
      <c r="G990" t="s">
        <v>10</v>
      </c>
    </row>
    <row r="991" spans="1:7" x14ac:dyDescent="0.25">
      <c r="A991" t="s">
        <v>115</v>
      </c>
      <c r="B991" s="2">
        <v>53</v>
      </c>
      <c r="C991" s="2">
        <v>5</v>
      </c>
      <c r="D991" s="1">
        <v>3</v>
      </c>
      <c r="E991" t="s">
        <v>23</v>
      </c>
      <c r="F991" t="s">
        <v>81</v>
      </c>
      <c r="G991" t="s">
        <v>10</v>
      </c>
    </row>
    <row r="992" spans="1:7" x14ac:dyDescent="0.25">
      <c r="A992" t="s">
        <v>246</v>
      </c>
      <c r="B992" s="2">
        <v>258</v>
      </c>
      <c r="C992" s="2">
        <v>-27</v>
      </c>
      <c r="D992" s="1">
        <v>2</v>
      </c>
      <c r="E992" t="s">
        <v>8</v>
      </c>
      <c r="F992" t="s">
        <v>21</v>
      </c>
      <c r="G992" t="s">
        <v>82</v>
      </c>
    </row>
    <row r="993" spans="1:7" x14ac:dyDescent="0.25">
      <c r="A993" t="s">
        <v>455</v>
      </c>
      <c r="B993" s="2">
        <v>199</v>
      </c>
      <c r="C993" s="2">
        <v>8</v>
      </c>
      <c r="D993" s="1">
        <v>2</v>
      </c>
      <c r="E993" t="s">
        <v>23</v>
      </c>
      <c r="F993" t="s">
        <v>26</v>
      </c>
      <c r="G993" t="s">
        <v>10</v>
      </c>
    </row>
    <row r="994" spans="1:7" x14ac:dyDescent="0.25">
      <c r="A994" t="s">
        <v>300</v>
      </c>
      <c r="B994" s="2">
        <v>82</v>
      </c>
      <c r="C994" s="2">
        <v>-27</v>
      </c>
      <c r="D994" s="1">
        <v>3</v>
      </c>
      <c r="E994" t="s">
        <v>23</v>
      </c>
      <c r="F994" t="s">
        <v>32</v>
      </c>
      <c r="G994" t="s">
        <v>14</v>
      </c>
    </row>
    <row r="995" spans="1:7" x14ac:dyDescent="0.25">
      <c r="A995" t="s">
        <v>273</v>
      </c>
      <c r="B995" s="2">
        <v>139</v>
      </c>
      <c r="C995" s="2">
        <v>36</v>
      </c>
      <c r="D995" s="1">
        <v>3</v>
      </c>
      <c r="E995" t="s">
        <v>23</v>
      </c>
      <c r="F995" t="s">
        <v>57</v>
      </c>
      <c r="G995" t="s">
        <v>10</v>
      </c>
    </row>
    <row r="996" spans="1:7" x14ac:dyDescent="0.25">
      <c r="A996" t="s">
        <v>104</v>
      </c>
      <c r="B996" s="2">
        <v>53</v>
      </c>
      <c r="C996" s="2">
        <v>15</v>
      </c>
      <c r="D996" s="1">
        <v>2</v>
      </c>
      <c r="E996" t="s">
        <v>23</v>
      </c>
      <c r="F996" t="s">
        <v>57</v>
      </c>
      <c r="G996" t="s">
        <v>10</v>
      </c>
    </row>
    <row r="997" spans="1:7" x14ac:dyDescent="0.25">
      <c r="A997" t="s">
        <v>336</v>
      </c>
      <c r="B997" s="2">
        <v>53</v>
      </c>
      <c r="C997" s="2">
        <v>1</v>
      </c>
      <c r="D997" s="1">
        <v>4</v>
      </c>
      <c r="E997" t="s">
        <v>23</v>
      </c>
      <c r="F997" t="s">
        <v>57</v>
      </c>
      <c r="G997" t="s">
        <v>10</v>
      </c>
    </row>
    <row r="998" spans="1:7" x14ac:dyDescent="0.25">
      <c r="A998" t="s">
        <v>456</v>
      </c>
      <c r="B998" s="2">
        <v>101</v>
      </c>
      <c r="C998" s="2">
        <v>38</v>
      </c>
      <c r="D998" s="1">
        <v>2</v>
      </c>
      <c r="E998" t="s">
        <v>12</v>
      </c>
      <c r="F998" t="s">
        <v>131</v>
      </c>
      <c r="G998" t="s">
        <v>10</v>
      </c>
    </row>
    <row r="999" spans="1:7" x14ac:dyDescent="0.25">
      <c r="A999" t="s">
        <v>54</v>
      </c>
      <c r="B999" s="2">
        <v>262</v>
      </c>
      <c r="C999" s="2">
        <v>215</v>
      </c>
      <c r="D999" s="1">
        <v>2</v>
      </c>
      <c r="E999" t="s">
        <v>8</v>
      </c>
      <c r="F999" t="s">
        <v>18</v>
      </c>
      <c r="G999" t="s">
        <v>82</v>
      </c>
    </row>
    <row r="1000" spans="1:7" x14ac:dyDescent="0.25">
      <c r="A1000" t="s">
        <v>112</v>
      </c>
      <c r="B1000" s="2">
        <v>82</v>
      </c>
      <c r="C1000" s="2">
        <v>-39</v>
      </c>
      <c r="D1000" s="1">
        <v>5</v>
      </c>
      <c r="E1000" t="s">
        <v>23</v>
      </c>
      <c r="F1000" t="s">
        <v>81</v>
      </c>
      <c r="G1000" t="s">
        <v>14</v>
      </c>
    </row>
    <row r="1001" spans="1:7" x14ac:dyDescent="0.25">
      <c r="A1001" t="s">
        <v>359</v>
      </c>
      <c r="B1001" s="2">
        <v>154</v>
      </c>
      <c r="C1001" s="2">
        <v>39</v>
      </c>
      <c r="D1001" s="1">
        <v>3</v>
      </c>
      <c r="E1001" t="s">
        <v>23</v>
      </c>
      <c r="F1001" t="s">
        <v>30</v>
      </c>
      <c r="G1001" t="s">
        <v>10</v>
      </c>
    </row>
    <row r="1002" spans="1:7" x14ac:dyDescent="0.25">
      <c r="A1002" t="s">
        <v>457</v>
      </c>
      <c r="B1002" s="2">
        <v>52</v>
      </c>
      <c r="C1002" s="2">
        <v>18</v>
      </c>
      <c r="D1002" s="1">
        <v>2</v>
      </c>
      <c r="E1002" t="s">
        <v>23</v>
      </c>
      <c r="F1002" t="s">
        <v>57</v>
      </c>
      <c r="G1002" t="s">
        <v>10</v>
      </c>
    </row>
    <row r="1003" spans="1:7" x14ac:dyDescent="0.25">
      <c r="A1003" t="s">
        <v>385</v>
      </c>
      <c r="B1003" s="2">
        <v>1599</v>
      </c>
      <c r="C1003" s="2">
        <v>37</v>
      </c>
      <c r="D1003" s="1">
        <v>6</v>
      </c>
      <c r="E1003" t="s">
        <v>8</v>
      </c>
      <c r="F1003" t="s">
        <v>9</v>
      </c>
      <c r="G1003" t="s">
        <v>28</v>
      </c>
    </row>
    <row r="1004" spans="1:7" x14ac:dyDescent="0.25">
      <c r="A1004" t="s">
        <v>255</v>
      </c>
      <c r="B1004" s="2">
        <v>338</v>
      </c>
      <c r="C1004" s="2">
        <v>41</v>
      </c>
      <c r="D1004" s="1">
        <v>7</v>
      </c>
      <c r="E1004" t="s">
        <v>23</v>
      </c>
      <c r="F1004" t="s">
        <v>30</v>
      </c>
      <c r="G1004" t="s">
        <v>28</v>
      </c>
    </row>
    <row r="1005" spans="1:7" x14ac:dyDescent="0.25">
      <c r="A1005" t="s">
        <v>292</v>
      </c>
      <c r="B1005" s="2">
        <v>51</v>
      </c>
      <c r="C1005" s="2">
        <v>-49</v>
      </c>
      <c r="D1005" s="1">
        <v>2</v>
      </c>
      <c r="E1005" t="s">
        <v>8</v>
      </c>
      <c r="F1005" t="s">
        <v>9</v>
      </c>
      <c r="G1005" t="s">
        <v>10</v>
      </c>
    </row>
    <row r="1006" spans="1:7" x14ac:dyDescent="0.25">
      <c r="A1006" t="s">
        <v>290</v>
      </c>
      <c r="B1006" s="2">
        <v>224</v>
      </c>
      <c r="C1006" s="2">
        <v>-81</v>
      </c>
      <c r="D1006" s="1">
        <v>3</v>
      </c>
      <c r="E1006" t="s">
        <v>12</v>
      </c>
      <c r="F1006" t="s">
        <v>13</v>
      </c>
      <c r="G1006" t="s">
        <v>10</v>
      </c>
    </row>
    <row r="1007" spans="1:7" x14ac:dyDescent="0.25">
      <c r="A1007" t="s">
        <v>458</v>
      </c>
      <c r="B1007" s="2">
        <v>207</v>
      </c>
      <c r="C1007" s="2">
        <v>37</v>
      </c>
      <c r="D1007" s="1">
        <v>4</v>
      </c>
      <c r="E1007" t="s">
        <v>23</v>
      </c>
      <c r="F1007" t="s">
        <v>30</v>
      </c>
      <c r="G1007" t="s">
        <v>10</v>
      </c>
    </row>
    <row r="1008" spans="1:7" x14ac:dyDescent="0.25">
      <c r="A1008" t="s">
        <v>459</v>
      </c>
      <c r="B1008" s="2">
        <v>51</v>
      </c>
      <c r="C1008" s="2">
        <v>14</v>
      </c>
      <c r="D1008" s="1">
        <v>2</v>
      </c>
      <c r="E1008" t="s">
        <v>23</v>
      </c>
      <c r="F1008" t="s">
        <v>57</v>
      </c>
      <c r="G1008" t="s">
        <v>10</v>
      </c>
    </row>
    <row r="1009" spans="1:7" x14ac:dyDescent="0.25">
      <c r="A1009" t="s">
        <v>128</v>
      </c>
      <c r="B1009" s="2">
        <v>82</v>
      </c>
      <c r="C1009" s="2">
        <v>8</v>
      </c>
      <c r="D1009" s="1">
        <v>3</v>
      </c>
      <c r="E1009" t="s">
        <v>8</v>
      </c>
      <c r="F1009" t="s">
        <v>73</v>
      </c>
      <c r="G1009" t="s">
        <v>14</v>
      </c>
    </row>
    <row r="1010" spans="1:7" x14ac:dyDescent="0.25">
      <c r="A1010" t="s">
        <v>137</v>
      </c>
      <c r="B1010" s="2">
        <v>50</v>
      </c>
      <c r="C1010" s="2">
        <v>-17</v>
      </c>
      <c r="D1010" s="1">
        <v>2</v>
      </c>
      <c r="E1010" t="s">
        <v>23</v>
      </c>
      <c r="F1010" t="s">
        <v>57</v>
      </c>
      <c r="G1010" t="s">
        <v>10</v>
      </c>
    </row>
    <row r="1011" spans="1:7" x14ac:dyDescent="0.25">
      <c r="A1011" t="s">
        <v>37</v>
      </c>
      <c r="B1011" s="2">
        <v>263</v>
      </c>
      <c r="C1011" s="2">
        <v>-31</v>
      </c>
      <c r="D1011" s="1">
        <v>9</v>
      </c>
      <c r="E1011" t="s">
        <v>8</v>
      </c>
      <c r="F1011" t="s">
        <v>9</v>
      </c>
      <c r="G1011" t="s">
        <v>82</v>
      </c>
    </row>
    <row r="1012" spans="1:7" x14ac:dyDescent="0.25">
      <c r="A1012" t="s">
        <v>241</v>
      </c>
      <c r="B1012" s="2">
        <v>50</v>
      </c>
      <c r="C1012" s="2">
        <v>7</v>
      </c>
      <c r="D1012" s="1">
        <v>6</v>
      </c>
      <c r="E1012" t="s">
        <v>23</v>
      </c>
      <c r="F1012" t="s">
        <v>43</v>
      </c>
      <c r="G1012" t="s">
        <v>10</v>
      </c>
    </row>
    <row r="1013" spans="1:7" x14ac:dyDescent="0.25">
      <c r="A1013" t="s">
        <v>400</v>
      </c>
      <c r="B1013" s="2">
        <v>245</v>
      </c>
      <c r="C1013" s="2">
        <v>-3</v>
      </c>
      <c r="D1013" s="1">
        <v>4</v>
      </c>
      <c r="E1013" t="s">
        <v>8</v>
      </c>
      <c r="F1013" t="s">
        <v>21</v>
      </c>
      <c r="G1013" t="s">
        <v>28</v>
      </c>
    </row>
    <row r="1014" spans="1:7" x14ac:dyDescent="0.25">
      <c r="A1014" t="s">
        <v>157</v>
      </c>
      <c r="B1014" s="2">
        <v>82</v>
      </c>
      <c r="C1014" s="2">
        <v>24</v>
      </c>
      <c r="D1014" s="1">
        <v>6</v>
      </c>
      <c r="E1014" t="s">
        <v>23</v>
      </c>
      <c r="F1014" t="s">
        <v>30</v>
      </c>
      <c r="G1014" t="s">
        <v>14</v>
      </c>
    </row>
    <row r="1015" spans="1:7" x14ac:dyDescent="0.25">
      <c r="A1015" t="s">
        <v>144</v>
      </c>
      <c r="B1015" s="2">
        <v>229</v>
      </c>
      <c r="C1015" s="2">
        <v>-41</v>
      </c>
      <c r="D1015" s="1">
        <v>8</v>
      </c>
      <c r="E1015" t="s">
        <v>8</v>
      </c>
      <c r="F1015" t="s">
        <v>73</v>
      </c>
      <c r="G1015" t="s">
        <v>10</v>
      </c>
    </row>
    <row r="1016" spans="1:7" x14ac:dyDescent="0.25">
      <c r="A1016" t="s">
        <v>179</v>
      </c>
      <c r="B1016" s="2">
        <v>50</v>
      </c>
      <c r="C1016" s="2">
        <v>14</v>
      </c>
      <c r="D1016" s="1">
        <v>1</v>
      </c>
      <c r="E1016" t="s">
        <v>8</v>
      </c>
      <c r="F1016" t="s">
        <v>9</v>
      </c>
      <c r="G1016" t="s">
        <v>10</v>
      </c>
    </row>
    <row r="1017" spans="1:7" x14ac:dyDescent="0.25">
      <c r="A1017" t="s">
        <v>211</v>
      </c>
      <c r="B1017" s="2">
        <v>220</v>
      </c>
      <c r="C1017" s="2">
        <v>40</v>
      </c>
      <c r="D1017" s="1">
        <v>2</v>
      </c>
      <c r="E1017" t="s">
        <v>8</v>
      </c>
      <c r="F1017" t="s">
        <v>73</v>
      </c>
      <c r="G1017" t="s">
        <v>10</v>
      </c>
    </row>
    <row r="1018" spans="1:7" x14ac:dyDescent="0.25">
      <c r="A1018" t="s">
        <v>29</v>
      </c>
      <c r="B1018" s="2">
        <v>263</v>
      </c>
      <c r="C1018" s="2">
        <v>-63</v>
      </c>
      <c r="D1018" s="1">
        <v>2</v>
      </c>
      <c r="E1018" t="s">
        <v>8</v>
      </c>
      <c r="F1018" t="s">
        <v>9</v>
      </c>
      <c r="G1018" t="s">
        <v>82</v>
      </c>
    </row>
    <row r="1019" spans="1:7" x14ac:dyDescent="0.25">
      <c r="A1019" t="s">
        <v>17</v>
      </c>
      <c r="B1019" s="2">
        <v>81</v>
      </c>
      <c r="C1019" s="2">
        <v>-41</v>
      </c>
      <c r="D1019" s="1">
        <v>5</v>
      </c>
      <c r="E1019" t="s">
        <v>23</v>
      </c>
      <c r="F1019" t="s">
        <v>63</v>
      </c>
      <c r="G1019" t="s">
        <v>14</v>
      </c>
    </row>
    <row r="1020" spans="1:7" x14ac:dyDescent="0.25">
      <c r="A1020" t="s">
        <v>460</v>
      </c>
      <c r="B1020" s="2">
        <v>50</v>
      </c>
      <c r="C1020" s="2">
        <v>-17</v>
      </c>
      <c r="D1020" s="1">
        <v>2</v>
      </c>
      <c r="E1020" t="s">
        <v>23</v>
      </c>
      <c r="F1020" t="s">
        <v>57</v>
      </c>
      <c r="G1020" t="s">
        <v>10</v>
      </c>
    </row>
    <row r="1021" spans="1:7" x14ac:dyDescent="0.25">
      <c r="A1021" t="s">
        <v>17</v>
      </c>
      <c r="B1021" s="2">
        <v>49</v>
      </c>
      <c r="C1021" s="2">
        <v>5</v>
      </c>
      <c r="D1021" s="1">
        <v>4</v>
      </c>
      <c r="E1021" t="s">
        <v>23</v>
      </c>
      <c r="F1021" t="s">
        <v>30</v>
      </c>
      <c r="G1021" t="s">
        <v>10</v>
      </c>
    </row>
    <row r="1022" spans="1:7" x14ac:dyDescent="0.25">
      <c r="A1022" t="s">
        <v>31</v>
      </c>
      <c r="B1022" s="2">
        <v>237</v>
      </c>
      <c r="C1022" s="2">
        <v>47</v>
      </c>
      <c r="D1022" s="1">
        <v>9</v>
      </c>
      <c r="E1022" t="s">
        <v>23</v>
      </c>
      <c r="F1022" t="s">
        <v>81</v>
      </c>
      <c r="G1022" t="s">
        <v>28</v>
      </c>
    </row>
    <row r="1023" spans="1:7" x14ac:dyDescent="0.25">
      <c r="A1023" t="s">
        <v>461</v>
      </c>
      <c r="B1023" s="2">
        <v>264</v>
      </c>
      <c r="C1023" s="2">
        <v>-30</v>
      </c>
      <c r="D1023" s="1">
        <v>3</v>
      </c>
      <c r="E1023" t="s">
        <v>12</v>
      </c>
      <c r="F1023" t="s">
        <v>131</v>
      </c>
      <c r="G1023" t="s">
        <v>82</v>
      </c>
    </row>
    <row r="1024" spans="1:7" x14ac:dyDescent="0.25">
      <c r="A1024" t="s">
        <v>119</v>
      </c>
      <c r="B1024" s="2">
        <v>49</v>
      </c>
      <c r="C1024" s="2">
        <v>3</v>
      </c>
      <c r="D1024" s="1">
        <v>1</v>
      </c>
      <c r="E1024" t="s">
        <v>23</v>
      </c>
      <c r="F1024" t="s">
        <v>142</v>
      </c>
      <c r="G1024" t="s">
        <v>10</v>
      </c>
    </row>
    <row r="1025" spans="1:7" x14ac:dyDescent="0.25">
      <c r="A1025" t="s">
        <v>307</v>
      </c>
      <c r="B1025" s="2">
        <v>63</v>
      </c>
      <c r="C1025" s="2">
        <v>-24</v>
      </c>
      <c r="D1025" s="1">
        <v>6</v>
      </c>
      <c r="E1025" t="s">
        <v>23</v>
      </c>
      <c r="F1025" t="s">
        <v>32</v>
      </c>
      <c r="G1025" t="s">
        <v>10</v>
      </c>
    </row>
    <row r="1026" spans="1:7" x14ac:dyDescent="0.25">
      <c r="A1026" t="s">
        <v>152</v>
      </c>
      <c r="B1026" s="2">
        <v>81</v>
      </c>
      <c r="C1026" s="2">
        <v>-51</v>
      </c>
      <c r="D1026" s="1">
        <v>7</v>
      </c>
      <c r="E1026" t="s">
        <v>23</v>
      </c>
      <c r="F1026" t="s">
        <v>57</v>
      </c>
      <c r="G1026" t="s">
        <v>14</v>
      </c>
    </row>
    <row r="1027" spans="1:7" x14ac:dyDescent="0.25">
      <c r="A1027" t="s">
        <v>162</v>
      </c>
      <c r="B1027" s="2">
        <v>264</v>
      </c>
      <c r="C1027" s="2">
        <v>71</v>
      </c>
      <c r="D1027" s="1">
        <v>10</v>
      </c>
      <c r="E1027" t="s">
        <v>12</v>
      </c>
      <c r="F1027" t="s">
        <v>131</v>
      </c>
      <c r="G1027" t="s">
        <v>82</v>
      </c>
    </row>
    <row r="1028" spans="1:7" x14ac:dyDescent="0.25">
      <c r="A1028" t="s">
        <v>328</v>
      </c>
      <c r="B1028" s="2">
        <v>48</v>
      </c>
      <c r="C1028" s="2">
        <v>11</v>
      </c>
      <c r="D1028" s="1">
        <v>2</v>
      </c>
      <c r="E1028" t="s">
        <v>23</v>
      </c>
      <c r="F1028" t="s">
        <v>142</v>
      </c>
      <c r="G1028" t="s">
        <v>10</v>
      </c>
    </row>
    <row r="1029" spans="1:7" x14ac:dyDescent="0.25">
      <c r="A1029" t="s">
        <v>321</v>
      </c>
      <c r="B1029" s="2">
        <v>48</v>
      </c>
      <c r="C1029" s="2">
        <v>15</v>
      </c>
      <c r="D1029" s="1">
        <v>1</v>
      </c>
      <c r="E1029" t="s">
        <v>23</v>
      </c>
      <c r="F1029" t="s">
        <v>30</v>
      </c>
      <c r="G1029" t="s">
        <v>10</v>
      </c>
    </row>
    <row r="1030" spans="1:7" x14ac:dyDescent="0.25">
      <c r="A1030" t="s">
        <v>135</v>
      </c>
      <c r="B1030" s="2">
        <v>245</v>
      </c>
      <c r="C1030" s="2">
        <v>-78</v>
      </c>
      <c r="D1030" s="1">
        <v>2</v>
      </c>
      <c r="E1030" t="s">
        <v>8</v>
      </c>
      <c r="F1030" t="s">
        <v>18</v>
      </c>
      <c r="G1030" t="s">
        <v>28</v>
      </c>
    </row>
    <row r="1031" spans="1:7" x14ac:dyDescent="0.25">
      <c r="A1031" t="s">
        <v>59</v>
      </c>
      <c r="B1031" s="2">
        <v>146</v>
      </c>
      <c r="C1031" s="2">
        <v>42</v>
      </c>
      <c r="D1031" s="1">
        <v>5</v>
      </c>
      <c r="E1031" t="s">
        <v>23</v>
      </c>
      <c r="F1031" t="s">
        <v>30</v>
      </c>
      <c r="G1031" t="s">
        <v>28</v>
      </c>
    </row>
    <row r="1032" spans="1:7" x14ac:dyDescent="0.25">
      <c r="A1032" t="s">
        <v>125</v>
      </c>
      <c r="B1032" s="2">
        <v>245</v>
      </c>
      <c r="C1032" s="2">
        <v>10</v>
      </c>
      <c r="D1032" s="1">
        <v>2</v>
      </c>
      <c r="E1032" t="s">
        <v>12</v>
      </c>
      <c r="F1032" t="s">
        <v>16</v>
      </c>
      <c r="G1032" t="s">
        <v>10</v>
      </c>
    </row>
    <row r="1033" spans="1:7" x14ac:dyDescent="0.25">
      <c r="A1033" t="s">
        <v>264</v>
      </c>
      <c r="B1033" s="2">
        <v>245</v>
      </c>
      <c r="C1033" s="2">
        <v>91</v>
      </c>
      <c r="D1033" s="1">
        <v>2</v>
      </c>
      <c r="E1033" t="s">
        <v>12</v>
      </c>
      <c r="F1033" t="s">
        <v>16</v>
      </c>
      <c r="G1033" t="s">
        <v>28</v>
      </c>
    </row>
    <row r="1034" spans="1:7" x14ac:dyDescent="0.25">
      <c r="A1034" t="s">
        <v>395</v>
      </c>
      <c r="B1034" s="2">
        <v>80</v>
      </c>
      <c r="C1034" s="2">
        <v>3</v>
      </c>
      <c r="D1034" s="1">
        <v>3</v>
      </c>
      <c r="E1034" t="s">
        <v>23</v>
      </c>
      <c r="F1034" t="s">
        <v>57</v>
      </c>
      <c r="G1034" t="s">
        <v>14</v>
      </c>
    </row>
    <row r="1035" spans="1:7" x14ac:dyDescent="0.25">
      <c r="A1035" t="s">
        <v>196</v>
      </c>
      <c r="B1035" s="2">
        <v>269</v>
      </c>
      <c r="C1035" s="2">
        <v>33</v>
      </c>
      <c r="D1035" s="1">
        <v>5</v>
      </c>
      <c r="E1035" t="s">
        <v>12</v>
      </c>
      <c r="F1035" t="s">
        <v>13</v>
      </c>
      <c r="G1035" t="s">
        <v>82</v>
      </c>
    </row>
    <row r="1036" spans="1:7" x14ac:dyDescent="0.25">
      <c r="A1036" t="s">
        <v>462</v>
      </c>
      <c r="B1036" s="2">
        <v>80</v>
      </c>
      <c r="C1036" s="2">
        <v>22</v>
      </c>
      <c r="D1036" s="1">
        <v>3</v>
      </c>
      <c r="E1036" t="s">
        <v>23</v>
      </c>
      <c r="F1036" t="s">
        <v>57</v>
      </c>
      <c r="G1036" t="s">
        <v>14</v>
      </c>
    </row>
    <row r="1037" spans="1:7" x14ac:dyDescent="0.25">
      <c r="A1037" t="s">
        <v>230</v>
      </c>
      <c r="B1037" s="2">
        <v>284</v>
      </c>
      <c r="C1037" s="2">
        <v>44</v>
      </c>
      <c r="D1037" s="1">
        <v>6</v>
      </c>
      <c r="E1037" t="s">
        <v>23</v>
      </c>
      <c r="F1037" t="s">
        <v>30</v>
      </c>
      <c r="G1037" t="s">
        <v>10</v>
      </c>
    </row>
    <row r="1038" spans="1:7" x14ac:dyDescent="0.25">
      <c r="A1038" t="s">
        <v>463</v>
      </c>
      <c r="B1038" s="2">
        <v>313</v>
      </c>
      <c r="C1038" s="2">
        <v>44</v>
      </c>
      <c r="D1038" s="1">
        <v>3</v>
      </c>
      <c r="E1038" t="s">
        <v>8</v>
      </c>
      <c r="F1038" t="s">
        <v>9</v>
      </c>
      <c r="G1038" t="s">
        <v>10</v>
      </c>
    </row>
    <row r="1039" spans="1:7" x14ac:dyDescent="0.25">
      <c r="A1039" t="s">
        <v>464</v>
      </c>
      <c r="B1039" s="2">
        <v>80</v>
      </c>
      <c r="C1039" s="2">
        <v>-26</v>
      </c>
      <c r="D1039" s="1">
        <v>9</v>
      </c>
      <c r="E1039" t="s">
        <v>23</v>
      </c>
      <c r="F1039" t="s">
        <v>43</v>
      </c>
      <c r="G1039" t="s">
        <v>14</v>
      </c>
    </row>
    <row r="1040" spans="1:7" x14ac:dyDescent="0.25">
      <c r="A1040" t="s">
        <v>465</v>
      </c>
      <c r="B1040" s="2">
        <v>48</v>
      </c>
      <c r="C1040" s="2">
        <v>-8</v>
      </c>
      <c r="D1040" s="1">
        <v>8</v>
      </c>
      <c r="E1040" t="s">
        <v>23</v>
      </c>
      <c r="F1040" t="s">
        <v>57</v>
      </c>
      <c r="G1040" t="s">
        <v>10</v>
      </c>
    </row>
    <row r="1041" spans="1:7" x14ac:dyDescent="0.25">
      <c r="A1041" t="s">
        <v>466</v>
      </c>
      <c r="B1041" s="2">
        <v>87</v>
      </c>
      <c r="C1041" s="2">
        <v>16</v>
      </c>
      <c r="D1041" s="1">
        <v>2</v>
      </c>
      <c r="E1041" t="s">
        <v>23</v>
      </c>
      <c r="F1041" t="s">
        <v>26</v>
      </c>
      <c r="G1041" t="s">
        <v>28</v>
      </c>
    </row>
    <row r="1042" spans="1:7" x14ac:dyDescent="0.25">
      <c r="A1042" t="s">
        <v>288</v>
      </c>
      <c r="B1042" s="2">
        <v>47</v>
      </c>
      <c r="C1042" s="2">
        <v>-114</v>
      </c>
      <c r="D1042" s="1">
        <v>5</v>
      </c>
      <c r="E1042" t="s">
        <v>12</v>
      </c>
      <c r="F1042" t="s">
        <v>131</v>
      </c>
      <c r="G1042" t="s">
        <v>10</v>
      </c>
    </row>
    <row r="1043" spans="1:7" x14ac:dyDescent="0.25">
      <c r="A1043" t="s">
        <v>394</v>
      </c>
      <c r="B1043" s="2">
        <v>140</v>
      </c>
      <c r="C1043" s="2">
        <v>28</v>
      </c>
      <c r="D1043" s="1">
        <v>2</v>
      </c>
      <c r="E1043" t="s">
        <v>8</v>
      </c>
      <c r="F1043" t="s">
        <v>21</v>
      </c>
      <c r="G1043" t="s">
        <v>10</v>
      </c>
    </row>
    <row r="1044" spans="1:7" x14ac:dyDescent="0.25">
      <c r="A1044" t="s">
        <v>173</v>
      </c>
      <c r="B1044" s="2">
        <v>47</v>
      </c>
      <c r="C1044" s="2">
        <v>1</v>
      </c>
      <c r="D1044" s="1">
        <v>2</v>
      </c>
      <c r="E1044" t="s">
        <v>23</v>
      </c>
      <c r="F1044" t="s">
        <v>57</v>
      </c>
      <c r="G1044" t="s">
        <v>10</v>
      </c>
    </row>
    <row r="1045" spans="1:7" x14ac:dyDescent="0.25">
      <c r="A1045" t="s">
        <v>191</v>
      </c>
      <c r="B1045" s="2">
        <v>79</v>
      </c>
      <c r="C1045" s="2">
        <v>-2</v>
      </c>
      <c r="D1045" s="1">
        <v>2</v>
      </c>
      <c r="E1045" t="s">
        <v>12</v>
      </c>
      <c r="F1045" t="s">
        <v>131</v>
      </c>
      <c r="G1045" t="s">
        <v>14</v>
      </c>
    </row>
    <row r="1046" spans="1:7" x14ac:dyDescent="0.25">
      <c r="A1046" t="s">
        <v>163</v>
      </c>
      <c r="B1046" s="2">
        <v>78</v>
      </c>
      <c r="C1046" s="2">
        <v>-64</v>
      </c>
      <c r="D1046" s="1">
        <v>7</v>
      </c>
      <c r="E1046" t="s">
        <v>23</v>
      </c>
      <c r="F1046" t="s">
        <v>57</v>
      </c>
      <c r="G1046" t="s">
        <v>14</v>
      </c>
    </row>
    <row r="1047" spans="1:7" x14ac:dyDescent="0.25">
      <c r="A1047" t="s">
        <v>208</v>
      </c>
      <c r="B1047" s="2">
        <v>47</v>
      </c>
      <c r="C1047" s="2">
        <v>-3</v>
      </c>
      <c r="D1047" s="1">
        <v>2</v>
      </c>
      <c r="E1047" t="s">
        <v>23</v>
      </c>
      <c r="F1047" t="s">
        <v>57</v>
      </c>
      <c r="G1047" t="s">
        <v>10</v>
      </c>
    </row>
    <row r="1048" spans="1:7" x14ac:dyDescent="0.25">
      <c r="A1048" t="s">
        <v>329</v>
      </c>
      <c r="B1048" s="2">
        <v>185</v>
      </c>
      <c r="C1048" s="2">
        <v>48</v>
      </c>
      <c r="D1048" s="1">
        <v>4</v>
      </c>
      <c r="E1048" t="s">
        <v>23</v>
      </c>
      <c r="F1048" t="s">
        <v>57</v>
      </c>
      <c r="G1048" t="s">
        <v>28</v>
      </c>
    </row>
    <row r="1049" spans="1:7" x14ac:dyDescent="0.25">
      <c r="A1049" t="s">
        <v>204</v>
      </c>
      <c r="B1049" s="2">
        <v>77</v>
      </c>
      <c r="C1049" s="2">
        <v>36</v>
      </c>
      <c r="D1049" s="1">
        <v>2</v>
      </c>
      <c r="E1049" t="s">
        <v>23</v>
      </c>
      <c r="F1049" t="s">
        <v>142</v>
      </c>
      <c r="G1049" t="s">
        <v>14</v>
      </c>
    </row>
    <row r="1050" spans="1:7" x14ac:dyDescent="0.25">
      <c r="A1050" t="s">
        <v>467</v>
      </c>
      <c r="B1050" s="2">
        <v>259</v>
      </c>
      <c r="C1050" s="2">
        <v>47</v>
      </c>
      <c r="D1050" s="1">
        <v>5</v>
      </c>
      <c r="E1050" t="s">
        <v>23</v>
      </c>
      <c r="F1050" t="s">
        <v>30</v>
      </c>
      <c r="G1050" t="s">
        <v>28</v>
      </c>
    </row>
    <row r="1051" spans="1:7" x14ac:dyDescent="0.25">
      <c r="A1051" t="s">
        <v>468</v>
      </c>
      <c r="B1051" s="2">
        <v>75</v>
      </c>
      <c r="C1051" s="2">
        <v>0</v>
      </c>
      <c r="D1051" s="1">
        <v>7</v>
      </c>
      <c r="E1051" t="s">
        <v>23</v>
      </c>
      <c r="F1051" t="s">
        <v>26</v>
      </c>
      <c r="G1051" t="s">
        <v>14</v>
      </c>
    </row>
    <row r="1052" spans="1:7" x14ac:dyDescent="0.25">
      <c r="A1052" t="s">
        <v>469</v>
      </c>
      <c r="B1052" s="2">
        <v>75</v>
      </c>
      <c r="C1052" s="2">
        <v>0</v>
      </c>
      <c r="D1052" s="1">
        <v>3</v>
      </c>
      <c r="E1052" t="s">
        <v>23</v>
      </c>
      <c r="F1052" t="s">
        <v>142</v>
      </c>
      <c r="G1052" t="s">
        <v>14</v>
      </c>
    </row>
    <row r="1053" spans="1:7" x14ac:dyDescent="0.25">
      <c r="A1053" t="s">
        <v>193</v>
      </c>
      <c r="B1053" s="2">
        <v>46</v>
      </c>
      <c r="C1053" s="2">
        <v>0</v>
      </c>
      <c r="D1053" s="1">
        <v>4</v>
      </c>
      <c r="E1053" t="s">
        <v>23</v>
      </c>
      <c r="F1053" t="s">
        <v>63</v>
      </c>
      <c r="G1053" t="s">
        <v>10</v>
      </c>
    </row>
    <row r="1054" spans="1:7" x14ac:dyDescent="0.25">
      <c r="A1054" t="s">
        <v>194</v>
      </c>
      <c r="B1054" s="2">
        <v>46</v>
      </c>
      <c r="C1054" s="2">
        <v>13</v>
      </c>
      <c r="D1054" s="1">
        <v>3</v>
      </c>
      <c r="E1054" t="s">
        <v>23</v>
      </c>
      <c r="F1054" t="s">
        <v>30</v>
      </c>
      <c r="G1054" t="s">
        <v>10</v>
      </c>
    </row>
    <row r="1055" spans="1:7" x14ac:dyDescent="0.25">
      <c r="A1055" t="s">
        <v>15</v>
      </c>
      <c r="B1055" s="2">
        <v>200</v>
      </c>
      <c r="C1055" s="2">
        <v>13</v>
      </c>
      <c r="D1055" s="1">
        <v>5</v>
      </c>
      <c r="E1055" t="s">
        <v>8</v>
      </c>
      <c r="F1055" t="s">
        <v>21</v>
      </c>
      <c r="G1055" t="s">
        <v>10</v>
      </c>
    </row>
    <row r="1056" spans="1:7" x14ac:dyDescent="0.25">
      <c r="A1056" t="s">
        <v>470</v>
      </c>
      <c r="B1056" s="2">
        <v>46</v>
      </c>
      <c r="C1056" s="2">
        <v>-14</v>
      </c>
      <c r="D1056" s="1">
        <v>1</v>
      </c>
      <c r="E1056" t="s">
        <v>8</v>
      </c>
      <c r="F1056" t="s">
        <v>21</v>
      </c>
      <c r="G1056" t="s">
        <v>10</v>
      </c>
    </row>
    <row r="1057" spans="1:7" x14ac:dyDescent="0.25">
      <c r="A1057" t="s">
        <v>471</v>
      </c>
      <c r="B1057" s="2">
        <v>126</v>
      </c>
      <c r="C1057" s="2">
        <v>52</v>
      </c>
      <c r="D1057" s="1">
        <v>4</v>
      </c>
      <c r="E1057" t="s">
        <v>23</v>
      </c>
      <c r="F1057" t="s">
        <v>30</v>
      </c>
      <c r="G1057" t="s">
        <v>28</v>
      </c>
    </row>
    <row r="1058" spans="1:7" x14ac:dyDescent="0.25">
      <c r="A1058" t="s">
        <v>269</v>
      </c>
      <c r="B1058" s="2">
        <v>74</v>
      </c>
      <c r="C1058" s="2">
        <v>29</v>
      </c>
      <c r="D1058" s="1">
        <v>3</v>
      </c>
      <c r="E1058" t="s">
        <v>23</v>
      </c>
      <c r="F1058" t="s">
        <v>57</v>
      </c>
      <c r="G1058" t="s">
        <v>14</v>
      </c>
    </row>
    <row r="1059" spans="1:7" x14ac:dyDescent="0.25">
      <c r="A1059" t="s">
        <v>236</v>
      </c>
      <c r="B1059" s="2">
        <v>45</v>
      </c>
      <c r="C1059" s="2">
        <v>13</v>
      </c>
      <c r="D1059" s="1">
        <v>4</v>
      </c>
      <c r="E1059" t="s">
        <v>23</v>
      </c>
      <c r="F1059" t="s">
        <v>43</v>
      </c>
      <c r="G1059" t="s">
        <v>10</v>
      </c>
    </row>
    <row r="1060" spans="1:7" x14ac:dyDescent="0.25">
      <c r="A1060" t="s">
        <v>212</v>
      </c>
      <c r="B1060" s="2">
        <v>74</v>
      </c>
      <c r="C1060" s="2">
        <v>9</v>
      </c>
      <c r="D1060" s="1">
        <v>3</v>
      </c>
      <c r="E1060" t="s">
        <v>23</v>
      </c>
      <c r="F1060" t="s">
        <v>142</v>
      </c>
      <c r="G1060" t="s">
        <v>28</v>
      </c>
    </row>
    <row r="1061" spans="1:7" x14ac:dyDescent="0.25">
      <c r="A1061" t="s">
        <v>292</v>
      </c>
      <c r="B1061" s="2">
        <v>129</v>
      </c>
      <c r="C1061" s="2">
        <v>11</v>
      </c>
      <c r="D1061" s="1">
        <v>2</v>
      </c>
      <c r="E1061" t="s">
        <v>8</v>
      </c>
      <c r="F1061" t="s">
        <v>21</v>
      </c>
      <c r="G1061" t="s">
        <v>28</v>
      </c>
    </row>
    <row r="1062" spans="1:7" x14ac:dyDescent="0.25">
      <c r="A1062" t="s">
        <v>329</v>
      </c>
      <c r="B1062" s="2">
        <v>122</v>
      </c>
      <c r="C1062" s="2">
        <v>50</v>
      </c>
      <c r="D1062" s="1">
        <v>7</v>
      </c>
      <c r="E1062" t="s">
        <v>23</v>
      </c>
      <c r="F1062" t="s">
        <v>57</v>
      </c>
      <c r="G1062" t="s">
        <v>28</v>
      </c>
    </row>
    <row r="1063" spans="1:7" x14ac:dyDescent="0.25">
      <c r="A1063" t="s">
        <v>224</v>
      </c>
      <c r="B1063" s="2">
        <v>74</v>
      </c>
      <c r="C1063" s="2">
        <v>-51</v>
      </c>
      <c r="D1063" s="1">
        <v>3</v>
      </c>
      <c r="E1063" t="s">
        <v>23</v>
      </c>
      <c r="F1063" t="s">
        <v>57</v>
      </c>
      <c r="G1063" t="s">
        <v>28</v>
      </c>
    </row>
    <row r="1064" spans="1:7" x14ac:dyDescent="0.25">
      <c r="A1064" t="s">
        <v>261</v>
      </c>
      <c r="B1064" s="2">
        <v>278</v>
      </c>
      <c r="C1064" s="2">
        <v>39</v>
      </c>
      <c r="D1064" s="1">
        <v>5</v>
      </c>
      <c r="E1064" t="s">
        <v>12</v>
      </c>
      <c r="F1064" t="s">
        <v>13</v>
      </c>
      <c r="G1064" t="s">
        <v>82</v>
      </c>
    </row>
    <row r="1065" spans="1:7" x14ac:dyDescent="0.25">
      <c r="A1065" t="s">
        <v>472</v>
      </c>
      <c r="B1065" s="2">
        <v>282</v>
      </c>
      <c r="C1065" s="2">
        <v>14</v>
      </c>
      <c r="D1065" s="1">
        <v>4</v>
      </c>
      <c r="E1065" t="s">
        <v>23</v>
      </c>
      <c r="F1065" t="s">
        <v>24</v>
      </c>
      <c r="G1065" t="s">
        <v>82</v>
      </c>
    </row>
    <row r="1066" spans="1:7" x14ac:dyDescent="0.25">
      <c r="A1066" t="s">
        <v>166</v>
      </c>
      <c r="B1066" s="2">
        <v>45</v>
      </c>
      <c r="C1066" s="2">
        <v>0</v>
      </c>
      <c r="D1066" s="1">
        <v>2</v>
      </c>
      <c r="E1066" t="s">
        <v>23</v>
      </c>
      <c r="F1066" t="s">
        <v>81</v>
      </c>
      <c r="G1066" t="s">
        <v>10</v>
      </c>
    </row>
    <row r="1067" spans="1:7" x14ac:dyDescent="0.25">
      <c r="A1067" t="s">
        <v>79</v>
      </c>
      <c r="B1067" s="2">
        <v>45</v>
      </c>
      <c r="C1067" s="2">
        <v>6</v>
      </c>
      <c r="D1067" s="1">
        <v>3</v>
      </c>
      <c r="E1067" t="s">
        <v>23</v>
      </c>
      <c r="F1067" t="s">
        <v>142</v>
      </c>
      <c r="G1067" t="s">
        <v>10</v>
      </c>
    </row>
    <row r="1068" spans="1:7" x14ac:dyDescent="0.25">
      <c r="A1068" t="s">
        <v>424</v>
      </c>
      <c r="B1068" s="2">
        <v>45</v>
      </c>
      <c r="C1068" s="2">
        <v>16</v>
      </c>
      <c r="D1068" s="1">
        <v>3</v>
      </c>
      <c r="E1068" t="s">
        <v>23</v>
      </c>
      <c r="F1068" t="s">
        <v>57</v>
      </c>
      <c r="G1068" t="s">
        <v>10</v>
      </c>
    </row>
    <row r="1069" spans="1:7" x14ac:dyDescent="0.25">
      <c r="A1069" t="s">
        <v>473</v>
      </c>
      <c r="B1069" s="2">
        <v>73</v>
      </c>
      <c r="C1069" s="2">
        <v>-36</v>
      </c>
      <c r="D1069" s="1">
        <v>3</v>
      </c>
      <c r="E1069" t="s">
        <v>12</v>
      </c>
      <c r="F1069" t="s">
        <v>13</v>
      </c>
      <c r="G1069" t="s">
        <v>28</v>
      </c>
    </row>
    <row r="1070" spans="1:7" x14ac:dyDescent="0.25">
      <c r="A1070" t="s">
        <v>113</v>
      </c>
      <c r="B1070" s="2">
        <v>45</v>
      </c>
      <c r="C1070" s="2">
        <v>12</v>
      </c>
      <c r="D1070" s="1">
        <v>4</v>
      </c>
      <c r="E1070" t="s">
        <v>23</v>
      </c>
      <c r="F1070" t="s">
        <v>30</v>
      </c>
      <c r="G1070" t="s">
        <v>10</v>
      </c>
    </row>
    <row r="1071" spans="1:7" x14ac:dyDescent="0.25">
      <c r="A1071" t="s">
        <v>344</v>
      </c>
      <c r="B1071" s="2">
        <v>72</v>
      </c>
      <c r="C1071" s="2">
        <v>-6</v>
      </c>
      <c r="D1071" s="1">
        <v>3</v>
      </c>
      <c r="E1071" t="s">
        <v>23</v>
      </c>
      <c r="F1071" t="s">
        <v>26</v>
      </c>
      <c r="G1071" t="s">
        <v>28</v>
      </c>
    </row>
    <row r="1072" spans="1:7" x14ac:dyDescent="0.25">
      <c r="A1072" t="s">
        <v>403</v>
      </c>
      <c r="B1072" s="2">
        <v>71</v>
      </c>
      <c r="C1072" s="2">
        <v>-44</v>
      </c>
      <c r="D1072" s="1">
        <v>5</v>
      </c>
      <c r="E1072" t="s">
        <v>8</v>
      </c>
      <c r="F1072" t="s">
        <v>73</v>
      </c>
      <c r="G1072" t="s">
        <v>28</v>
      </c>
    </row>
    <row r="1073" spans="1:7" x14ac:dyDescent="0.25">
      <c r="A1073" t="s">
        <v>461</v>
      </c>
      <c r="B1073" s="2">
        <v>45</v>
      </c>
      <c r="C1073" s="2">
        <v>-2</v>
      </c>
      <c r="D1073" s="1">
        <v>4</v>
      </c>
      <c r="E1073" t="s">
        <v>23</v>
      </c>
      <c r="F1073" t="s">
        <v>142</v>
      </c>
      <c r="G1073" t="s">
        <v>10</v>
      </c>
    </row>
    <row r="1074" spans="1:7" x14ac:dyDescent="0.25">
      <c r="A1074" t="s">
        <v>173</v>
      </c>
      <c r="B1074" s="2">
        <v>286</v>
      </c>
      <c r="C1074" s="2">
        <v>140</v>
      </c>
      <c r="D1074" s="1">
        <v>6</v>
      </c>
      <c r="E1074" t="s">
        <v>23</v>
      </c>
      <c r="F1074" t="s">
        <v>142</v>
      </c>
      <c r="G1074" t="s">
        <v>82</v>
      </c>
    </row>
    <row r="1075" spans="1:7" x14ac:dyDescent="0.25">
      <c r="A1075" t="s">
        <v>474</v>
      </c>
      <c r="B1075" s="2">
        <v>294</v>
      </c>
      <c r="C1075" s="2">
        <v>138</v>
      </c>
      <c r="D1075" s="1">
        <v>2</v>
      </c>
      <c r="E1075" t="s">
        <v>8</v>
      </c>
      <c r="F1075" t="s">
        <v>18</v>
      </c>
      <c r="G1075" t="s">
        <v>82</v>
      </c>
    </row>
    <row r="1076" spans="1:7" x14ac:dyDescent="0.25">
      <c r="A1076" t="s">
        <v>159</v>
      </c>
      <c r="B1076" s="2">
        <v>223</v>
      </c>
      <c r="C1076" s="2">
        <v>4</v>
      </c>
      <c r="D1076" s="1">
        <v>3</v>
      </c>
      <c r="E1076" t="s">
        <v>8</v>
      </c>
      <c r="F1076" t="s">
        <v>21</v>
      </c>
      <c r="G1076" t="s">
        <v>10</v>
      </c>
    </row>
    <row r="1077" spans="1:7" x14ac:dyDescent="0.25">
      <c r="A1077" t="s">
        <v>475</v>
      </c>
      <c r="B1077" s="2">
        <v>20</v>
      </c>
      <c r="C1077" s="2">
        <v>-2</v>
      </c>
      <c r="D1077" s="1">
        <v>1</v>
      </c>
      <c r="E1077" t="s">
        <v>8</v>
      </c>
      <c r="F1077" t="s">
        <v>73</v>
      </c>
      <c r="G1077" t="s">
        <v>28</v>
      </c>
    </row>
    <row r="1078" spans="1:7" x14ac:dyDescent="0.25">
      <c r="A1078" t="s">
        <v>275</v>
      </c>
      <c r="B1078" s="2">
        <v>302</v>
      </c>
      <c r="C1078" s="2">
        <v>75</v>
      </c>
      <c r="D1078" s="1">
        <v>6</v>
      </c>
      <c r="E1078" t="s">
        <v>12</v>
      </c>
      <c r="F1078" t="s">
        <v>131</v>
      </c>
      <c r="G1078" t="s">
        <v>82</v>
      </c>
    </row>
    <row r="1079" spans="1:7" x14ac:dyDescent="0.25">
      <c r="A1079" t="s">
        <v>301</v>
      </c>
      <c r="B1079" s="2">
        <v>113</v>
      </c>
      <c r="C1079" s="2">
        <v>28</v>
      </c>
      <c r="D1079" s="1">
        <v>2</v>
      </c>
      <c r="E1079" t="s">
        <v>23</v>
      </c>
      <c r="F1079" t="s">
        <v>26</v>
      </c>
      <c r="G1079" t="s">
        <v>28</v>
      </c>
    </row>
    <row r="1080" spans="1:7" x14ac:dyDescent="0.25">
      <c r="A1080" t="s">
        <v>132</v>
      </c>
      <c r="B1080" s="2">
        <v>44</v>
      </c>
      <c r="C1080" s="2">
        <v>2</v>
      </c>
      <c r="D1080" s="1">
        <v>3</v>
      </c>
      <c r="E1080" t="s">
        <v>23</v>
      </c>
      <c r="F1080" t="s">
        <v>30</v>
      </c>
      <c r="G1080" t="s">
        <v>10</v>
      </c>
    </row>
    <row r="1081" spans="1:7" x14ac:dyDescent="0.25">
      <c r="A1081" t="s">
        <v>476</v>
      </c>
      <c r="B1081" s="2">
        <v>305</v>
      </c>
      <c r="C1081" s="2">
        <v>-270</v>
      </c>
      <c r="D1081" s="1">
        <v>5</v>
      </c>
      <c r="E1081" t="s">
        <v>8</v>
      </c>
      <c r="F1081" t="s">
        <v>9</v>
      </c>
      <c r="G1081" t="s">
        <v>82</v>
      </c>
    </row>
    <row r="1082" spans="1:7" x14ac:dyDescent="0.25">
      <c r="A1082" t="s">
        <v>469</v>
      </c>
      <c r="B1082" s="2">
        <v>306</v>
      </c>
      <c r="C1082" s="2">
        <v>-147</v>
      </c>
      <c r="D1082" s="1">
        <v>3</v>
      </c>
      <c r="E1082" t="s">
        <v>23</v>
      </c>
      <c r="F1082" t="s">
        <v>26</v>
      </c>
      <c r="G1082" t="s">
        <v>82</v>
      </c>
    </row>
    <row r="1083" spans="1:7" x14ac:dyDescent="0.25">
      <c r="A1083" t="s">
        <v>272</v>
      </c>
      <c r="B1083" s="2">
        <v>70</v>
      </c>
      <c r="C1083" s="2">
        <v>-64</v>
      </c>
      <c r="D1083" s="1">
        <v>5</v>
      </c>
      <c r="E1083" t="s">
        <v>23</v>
      </c>
      <c r="F1083" t="s">
        <v>57</v>
      </c>
      <c r="G1083" t="s">
        <v>28</v>
      </c>
    </row>
    <row r="1084" spans="1:7" x14ac:dyDescent="0.25">
      <c r="A1084" t="s">
        <v>281</v>
      </c>
      <c r="B1084" s="2">
        <v>44</v>
      </c>
      <c r="C1084" s="2">
        <v>11</v>
      </c>
      <c r="D1084" s="1">
        <v>4</v>
      </c>
      <c r="E1084" t="s">
        <v>23</v>
      </c>
      <c r="F1084" t="s">
        <v>57</v>
      </c>
      <c r="G1084" t="s">
        <v>10</v>
      </c>
    </row>
    <row r="1085" spans="1:7" x14ac:dyDescent="0.25">
      <c r="A1085" t="s">
        <v>133</v>
      </c>
      <c r="B1085" s="2">
        <v>44</v>
      </c>
      <c r="C1085" s="2">
        <v>14</v>
      </c>
      <c r="D1085" s="1">
        <v>3</v>
      </c>
      <c r="E1085" t="s">
        <v>23</v>
      </c>
      <c r="F1085" t="s">
        <v>30</v>
      </c>
      <c r="G1085" t="s">
        <v>10</v>
      </c>
    </row>
    <row r="1086" spans="1:7" x14ac:dyDescent="0.25">
      <c r="A1086" t="s">
        <v>54</v>
      </c>
      <c r="B1086" s="2">
        <v>319</v>
      </c>
      <c r="C1086" s="2">
        <v>312</v>
      </c>
      <c r="D1086" s="1">
        <v>5</v>
      </c>
      <c r="E1086" t="s">
        <v>23</v>
      </c>
      <c r="F1086" t="s">
        <v>26</v>
      </c>
      <c r="G1086" t="s">
        <v>82</v>
      </c>
    </row>
    <row r="1087" spans="1:7" x14ac:dyDescent="0.25">
      <c r="A1087" t="s">
        <v>249</v>
      </c>
      <c r="B1087" s="2">
        <v>287</v>
      </c>
      <c r="C1087" s="2">
        <v>-280</v>
      </c>
      <c r="D1087" s="1">
        <v>12</v>
      </c>
      <c r="E1087" t="s">
        <v>12</v>
      </c>
      <c r="F1087" t="s">
        <v>13</v>
      </c>
      <c r="G1087" t="s">
        <v>28</v>
      </c>
    </row>
    <row r="1088" spans="1:7" x14ac:dyDescent="0.25">
      <c r="A1088" t="s">
        <v>328</v>
      </c>
      <c r="B1088" s="2">
        <v>44</v>
      </c>
      <c r="C1088" s="2">
        <v>10</v>
      </c>
      <c r="D1088" s="1">
        <v>3</v>
      </c>
      <c r="E1088" t="s">
        <v>23</v>
      </c>
      <c r="F1088" t="s">
        <v>57</v>
      </c>
      <c r="G1088" t="s">
        <v>10</v>
      </c>
    </row>
    <row r="1089" spans="1:7" x14ac:dyDescent="0.25">
      <c r="A1089" t="s">
        <v>143</v>
      </c>
      <c r="B1089" s="2">
        <v>288</v>
      </c>
      <c r="C1089" s="2">
        <v>-180</v>
      </c>
      <c r="D1089" s="1">
        <v>4</v>
      </c>
      <c r="E1089" t="s">
        <v>12</v>
      </c>
      <c r="F1089" t="s">
        <v>13</v>
      </c>
      <c r="G1089" t="s">
        <v>10</v>
      </c>
    </row>
    <row r="1090" spans="1:7" x14ac:dyDescent="0.25">
      <c r="A1090" t="s">
        <v>80</v>
      </c>
      <c r="B1090" s="2">
        <v>49</v>
      </c>
      <c r="C1090" s="2">
        <v>-31</v>
      </c>
      <c r="D1090" s="1">
        <v>2</v>
      </c>
      <c r="E1090" t="s">
        <v>23</v>
      </c>
      <c r="F1090" t="s">
        <v>57</v>
      </c>
      <c r="G1090" t="s">
        <v>10</v>
      </c>
    </row>
    <row r="1091" spans="1:7" x14ac:dyDescent="0.25">
      <c r="A1091" t="s">
        <v>192</v>
      </c>
      <c r="B1091" s="2">
        <v>43</v>
      </c>
      <c r="C1091" s="2">
        <v>-10</v>
      </c>
      <c r="D1091" s="1">
        <v>4</v>
      </c>
      <c r="E1091" t="s">
        <v>23</v>
      </c>
      <c r="F1091" t="s">
        <v>43</v>
      </c>
      <c r="G1091" t="s">
        <v>10</v>
      </c>
    </row>
    <row r="1092" spans="1:7" x14ac:dyDescent="0.25">
      <c r="A1092" t="s">
        <v>185</v>
      </c>
      <c r="B1092" s="2">
        <v>43</v>
      </c>
      <c r="C1092" s="2">
        <v>5</v>
      </c>
      <c r="D1092" s="1">
        <v>3</v>
      </c>
      <c r="E1092" t="s">
        <v>23</v>
      </c>
      <c r="F1092" t="s">
        <v>57</v>
      </c>
      <c r="G1092" t="s">
        <v>10</v>
      </c>
    </row>
    <row r="1093" spans="1:7" x14ac:dyDescent="0.25">
      <c r="A1093" t="s">
        <v>7</v>
      </c>
      <c r="B1093" s="2">
        <v>68</v>
      </c>
      <c r="C1093" s="2">
        <v>-27</v>
      </c>
      <c r="D1093" s="1">
        <v>3</v>
      </c>
      <c r="E1093" t="s">
        <v>8</v>
      </c>
      <c r="F1093" t="s">
        <v>73</v>
      </c>
      <c r="G1093" t="s">
        <v>28</v>
      </c>
    </row>
    <row r="1094" spans="1:7" x14ac:dyDescent="0.25">
      <c r="A1094" t="s">
        <v>113</v>
      </c>
      <c r="B1094" s="2">
        <v>320</v>
      </c>
      <c r="C1094" s="2">
        <v>144</v>
      </c>
      <c r="D1094" s="1">
        <v>1</v>
      </c>
      <c r="E1094" t="s">
        <v>8</v>
      </c>
      <c r="F1094" t="s">
        <v>18</v>
      </c>
      <c r="G1094" t="s">
        <v>82</v>
      </c>
    </row>
    <row r="1095" spans="1:7" x14ac:dyDescent="0.25">
      <c r="A1095" t="s">
        <v>129</v>
      </c>
      <c r="B1095" s="2">
        <v>67</v>
      </c>
      <c r="C1095" s="2">
        <v>2</v>
      </c>
      <c r="D1095" s="1">
        <v>4</v>
      </c>
      <c r="E1095" t="s">
        <v>23</v>
      </c>
      <c r="F1095" t="s">
        <v>81</v>
      </c>
      <c r="G1095" t="s">
        <v>28</v>
      </c>
    </row>
    <row r="1096" spans="1:7" x14ac:dyDescent="0.25">
      <c r="A1096" t="s">
        <v>346</v>
      </c>
      <c r="B1096" s="2">
        <v>66</v>
      </c>
      <c r="C1096" s="2">
        <v>-12</v>
      </c>
      <c r="D1096" s="1">
        <v>5</v>
      </c>
      <c r="E1096" t="s">
        <v>23</v>
      </c>
      <c r="F1096" t="s">
        <v>57</v>
      </c>
      <c r="G1096" t="s">
        <v>28</v>
      </c>
    </row>
    <row r="1097" spans="1:7" x14ac:dyDescent="0.25">
      <c r="A1097" t="s">
        <v>379</v>
      </c>
      <c r="B1097" s="2">
        <v>321</v>
      </c>
      <c r="C1097" s="2">
        <v>26</v>
      </c>
      <c r="D1097" s="1">
        <v>3</v>
      </c>
      <c r="E1097" t="s">
        <v>8</v>
      </c>
      <c r="F1097" t="s">
        <v>18</v>
      </c>
      <c r="G1097" t="s">
        <v>82</v>
      </c>
    </row>
    <row r="1098" spans="1:7" x14ac:dyDescent="0.25">
      <c r="A1098" t="s">
        <v>262</v>
      </c>
      <c r="B1098" s="2">
        <v>43</v>
      </c>
      <c r="C1098" s="2">
        <v>-5</v>
      </c>
      <c r="D1098" s="1">
        <v>2</v>
      </c>
      <c r="E1098" t="s">
        <v>23</v>
      </c>
      <c r="F1098" t="s">
        <v>26</v>
      </c>
      <c r="G1098" t="s">
        <v>10</v>
      </c>
    </row>
    <row r="1099" spans="1:7" x14ac:dyDescent="0.25">
      <c r="A1099" t="s">
        <v>229</v>
      </c>
      <c r="B1099" s="2">
        <v>114</v>
      </c>
      <c r="C1099" s="2">
        <v>-39</v>
      </c>
      <c r="D1099" s="1">
        <v>5</v>
      </c>
      <c r="E1099" t="s">
        <v>23</v>
      </c>
      <c r="F1099" t="s">
        <v>32</v>
      </c>
      <c r="G1099" t="s">
        <v>10</v>
      </c>
    </row>
    <row r="1100" spans="1:7" x14ac:dyDescent="0.25">
      <c r="A1100" t="s">
        <v>178</v>
      </c>
      <c r="B1100" s="2">
        <v>43</v>
      </c>
      <c r="C1100" s="2">
        <v>17</v>
      </c>
      <c r="D1100" s="1">
        <v>1</v>
      </c>
      <c r="E1100" t="s">
        <v>23</v>
      </c>
      <c r="F1100" t="s">
        <v>26</v>
      </c>
      <c r="G1100" t="s">
        <v>10</v>
      </c>
    </row>
    <row r="1101" spans="1:7" x14ac:dyDescent="0.25">
      <c r="A1101" t="s">
        <v>262</v>
      </c>
      <c r="B1101" s="2">
        <v>43</v>
      </c>
      <c r="C1101" s="2">
        <v>21</v>
      </c>
      <c r="D1101" s="1">
        <v>3</v>
      </c>
      <c r="E1101" t="s">
        <v>23</v>
      </c>
      <c r="F1101" t="s">
        <v>142</v>
      </c>
      <c r="G1101" t="s">
        <v>10</v>
      </c>
    </row>
    <row r="1102" spans="1:7" x14ac:dyDescent="0.25">
      <c r="A1102" t="s">
        <v>200</v>
      </c>
      <c r="B1102" s="2">
        <v>637</v>
      </c>
      <c r="C1102" s="2">
        <v>50</v>
      </c>
      <c r="D1102" s="1">
        <v>5</v>
      </c>
      <c r="E1102" t="s">
        <v>23</v>
      </c>
      <c r="F1102" t="s">
        <v>26</v>
      </c>
      <c r="G1102" t="s">
        <v>10</v>
      </c>
    </row>
    <row r="1103" spans="1:7" x14ac:dyDescent="0.25">
      <c r="A1103" t="s">
        <v>31</v>
      </c>
      <c r="B1103" s="2">
        <v>300</v>
      </c>
      <c r="C1103" s="2">
        <v>42</v>
      </c>
      <c r="D1103" s="1">
        <v>2</v>
      </c>
      <c r="E1103" t="s">
        <v>8</v>
      </c>
      <c r="F1103" t="s">
        <v>18</v>
      </c>
      <c r="G1103" t="s">
        <v>10</v>
      </c>
    </row>
    <row r="1104" spans="1:7" x14ac:dyDescent="0.25">
      <c r="A1104" t="s">
        <v>477</v>
      </c>
      <c r="B1104" s="2">
        <v>341</v>
      </c>
      <c r="C1104" s="2">
        <v>44</v>
      </c>
      <c r="D1104" s="1">
        <v>7</v>
      </c>
      <c r="E1104" t="s">
        <v>12</v>
      </c>
      <c r="F1104" t="s">
        <v>131</v>
      </c>
      <c r="G1104" t="s">
        <v>28</v>
      </c>
    </row>
    <row r="1105" spans="1:7" x14ac:dyDescent="0.25">
      <c r="A1105" t="s">
        <v>120</v>
      </c>
      <c r="B1105" s="2">
        <v>102</v>
      </c>
      <c r="C1105" s="2">
        <v>0</v>
      </c>
      <c r="D1105" s="1">
        <v>3</v>
      </c>
      <c r="E1105" t="s">
        <v>8</v>
      </c>
      <c r="F1105" t="s">
        <v>21</v>
      </c>
      <c r="G1105" t="s">
        <v>10</v>
      </c>
    </row>
    <row r="1106" spans="1:7" x14ac:dyDescent="0.25">
      <c r="A1106" t="s">
        <v>37</v>
      </c>
      <c r="B1106" s="2">
        <v>328</v>
      </c>
      <c r="C1106" s="2">
        <v>-15</v>
      </c>
      <c r="D1106" s="1">
        <v>3</v>
      </c>
      <c r="E1106" t="s">
        <v>8</v>
      </c>
      <c r="F1106" t="s">
        <v>9</v>
      </c>
      <c r="G1106" t="s">
        <v>82</v>
      </c>
    </row>
    <row r="1107" spans="1:7" x14ac:dyDescent="0.25">
      <c r="A1107" t="s">
        <v>478</v>
      </c>
      <c r="B1107" s="2">
        <v>341</v>
      </c>
      <c r="C1107" s="2">
        <v>160</v>
      </c>
      <c r="D1107" s="1">
        <v>7</v>
      </c>
      <c r="E1107" t="s">
        <v>23</v>
      </c>
      <c r="F1107" t="s">
        <v>57</v>
      </c>
      <c r="G1107" t="s">
        <v>82</v>
      </c>
    </row>
    <row r="1108" spans="1:7" x14ac:dyDescent="0.25">
      <c r="A1108" t="s">
        <v>479</v>
      </c>
      <c r="B1108" s="2">
        <v>62</v>
      </c>
      <c r="C1108" s="2">
        <v>11</v>
      </c>
      <c r="D1108" s="1">
        <v>7</v>
      </c>
      <c r="E1108" t="s">
        <v>23</v>
      </c>
      <c r="F1108" t="s">
        <v>30</v>
      </c>
      <c r="G1108" t="s">
        <v>28</v>
      </c>
    </row>
    <row r="1109" spans="1:7" x14ac:dyDescent="0.25">
      <c r="A1109" t="s">
        <v>264</v>
      </c>
      <c r="B1109" s="2">
        <v>42</v>
      </c>
      <c r="C1109" s="2">
        <v>13</v>
      </c>
      <c r="D1109" s="1">
        <v>3</v>
      </c>
      <c r="E1109" t="s">
        <v>23</v>
      </c>
      <c r="F1109" t="s">
        <v>63</v>
      </c>
      <c r="G1109" t="s">
        <v>10</v>
      </c>
    </row>
    <row r="1110" spans="1:7" x14ac:dyDescent="0.25">
      <c r="A1110" t="s">
        <v>329</v>
      </c>
      <c r="B1110" s="2">
        <v>62</v>
      </c>
      <c r="C1110" s="2">
        <v>28</v>
      </c>
      <c r="D1110" s="1">
        <v>5</v>
      </c>
      <c r="E1110" t="s">
        <v>23</v>
      </c>
      <c r="F1110" t="s">
        <v>30</v>
      </c>
      <c r="G1110" t="s">
        <v>28</v>
      </c>
    </row>
    <row r="1111" spans="1:7" x14ac:dyDescent="0.25">
      <c r="A1111" t="s">
        <v>191</v>
      </c>
      <c r="B1111" s="2">
        <v>42</v>
      </c>
      <c r="C1111" s="2">
        <v>7</v>
      </c>
      <c r="D1111" s="1">
        <v>2</v>
      </c>
      <c r="E1111" t="s">
        <v>23</v>
      </c>
      <c r="F1111" t="s">
        <v>32</v>
      </c>
      <c r="G1111" t="s">
        <v>10</v>
      </c>
    </row>
    <row r="1112" spans="1:7" x14ac:dyDescent="0.25">
      <c r="A1112" t="s">
        <v>480</v>
      </c>
      <c r="B1112" s="2">
        <v>42</v>
      </c>
      <c r="C1112" s="2">
        <v>-3</v>
      </c>
      <c r="D1112" s="1">
        <v>1</v>
      </c>
      <c r="E1112" t="s">
        <v>8</v>
      </c>
      <c r="F1112" t="s">
        <v>9</v>
      </c>
      <c r="G1112" t="s">
        <v>10</v>
      </c>
    </row>
    <row r="1113" spans="1:7" x14ac:dyDescent="0.25">
      <c r="A1113" t="s">
        <v>420</v>
      </c>
      <c r="B1113" s="2">
        <v>313</v>
      </c>
      <c r="C1113" s="2">
        <v>-13</v>
      </c>
      <c r="D1113" s="1">
        <v>5</v>
      </c>
      <c r="E1113" t="s">
        <v>12</v>
      </c>
      <c r="F1113" t="s">
        <v>16</v>
      </c>
      <c r="G1113" t="s">
        <v>28</v>
      </c>
    </row>
    <row r="1114" spans="1:7" x14ac:dyDescent="0.25">
      <c r="A1114" t="s">
        <v>106</v>
      </c>
      <c r="B1114" s="2">
        <v>109</v>
      </c>
      <c r="C1114" s="2">
        <v>52</v>
      </c>
      <c r="D1114" s="1">
        <v>2</v>
      </c>
      <c r="E1114" t="s">
        <v>23</v>
      </c>
      <c r="F1114" t="s">
        <v>57</v>
      </c>
      <c r="G1114" t="s">
        <v>28</v>
      </c>
    </row>
    <row r="1115" spans="1:7" x14ac:dyDescent="0.25">
      <c r="A1115" t="s">
        <v>35</v>
      </c>
      <c r="B1115" s="2">
        <v>226</v>
      </c>
      <c r="C1115" s="2">
        <v>58</v>
      </c>
      <c r="D1115" s="1">
        <v>3</v>
      </c>
      <c r="E1115" t="s">
        <v>8</v>
      </c>
      <c r="F1115" t="s">
        <v>73</v>
      </c>
      <c r="G1115" t="s">
        <v>10</v>
      </c>
    </row>
    <row r="1116" spans="1:7" x14ac:dyDescent="0.25">
      <c r="A1116" t="s">
        <v>84</v>
      </c>
      <c r="B1116" s="2">
        <v>62</v>
      </c>
      <c r="C1116" s="2">
        <v>-1</v>
      </c>
      <c r="D1116" s="1">
        <v>1</v>
      </c>
      <c r="E1116" t="s">
        <v>8</v>
      </c>
      <c r="F1116" t="s">
        <v>21</v>
      </c>
      <c r="G1116" t="s">
        <v>28</v>
      </c>
    </row>
    <row r="1117" spans="1:7" x14ac:dyDescent="0.25">
      <c r="A1117" t="s">
        <v>97</v>
      </c>
      <c r="B1117" s="2">
        <v>61</v>
      </c>
      <c r="C1117" s="2">
        <v>-25</v>
      </c>
      <c r="D1117" s="1">
        <v>4</v>
      </c>
      <c r="E1117" t="s">
        <v>8</v>
      </c>
      <c r="F1117" t="s">
        <v>73</v>
      </c>
      <c r="G1117" t="s">
        <v>28</v>
      </c>
    </row>
    <row r="1118" spans="1:7" x14ac:dyDescent="0.25">
      <c r="A1118" t="s">
        <v>292</v>
      </c>
      <c r="B1118" s="2">
        <v>222</v>
      </c>
      <c r="C1118" s="2">
        <v>74</v>
      </c>
      <c r="D1118" s="1">
        <v>5</v>
      </c>
      <c r="E1118" t="s">
        <v>23</v>
      </c>
      <c r="F1118" t="s">
        <v>30</v>
      </c>
      <c r="G1118" t="s">
        <v>10</v>
      </c>
    </row>
    <row r="1119" spans="1:7" x14ac:dyDescent="0.25">
      <c r="A1119" t="s">
        <v>234</v>
      </c>
      <c r="B1119" s="2">
        <v>342</v>
      </c>
      <c r="C1119" s="2">
        <v>-154</v>
      </c>
      <c r="D1119" s="1">
        <v>7</v>
      </c>
      <c r="E1119" t="s">
        <v>12</v>
      </c>
      <c r="F1119" t="s">
        <v>131</v>
      </c>
      <c r="G1119" t="s">
        <v>82</v>
      </c>
    </row>
    <row r="1120" spans="1:7" x14ac:dyDescent="0.25">
      <c r="A1120" t="s">
        <v>100</v>
      </c>
      <c r="B1120" s="2">
        <v>344</v>
      </c>
      <c r="C1120" s="2">
        <v>-34</v>
      </c>
      <c r="D1120" s="1">
        <v>3</v>
      </c>
      <c r="E1120" t="s">
        <v>23</v>
      </c>
      <c r="F1120" t="s">
        <v>26</v>
      </c>
      <c r="G1120" t="s">
        <v>82</v>
      </c>
    </row>
    <row r="1121" spans="1:7" x14ac:dyDescent="0.25">
      <c r="A1121" t="s">
        <v>481</v>
      </c>
      <c r="B1121" s="2">
        <v>345</v>
      </c>
      <c r="C1121" s="2">
        <v>38</v>
      </c>
      <c r="D1121" s="1">
        <v>7</v>
      </c>
      <c r="E1121" t="s">
        <v>23</v>
      </c>
      <c r="F1121" t="s">
        <v>30</v>
      </c>
      <c r="G1121" t="s">
        <v>82</v>
      </c>
    </row>
    <row r="1122" spans="1:7" x14ac:dyDescent="0.25">
      <c r="A1122" t="s">
        <v>482</v>
      </c>
      <c r="B1122" s="2">
        <v>46</v>
      </c>
      <c r="C1122" s="2">
        <v>0</v>
      </c>
      <c r="D1122" s="1">
        <v>2</v>
      </c>
      <c r="E1122" t="s">
        <v>8</v>
      </c>
      <c r="F1122" t="s">
        <v>9</v>
      </c>
      <c r="G1122" t="s">
        <v>10</v>
      </c>
    </row>
    <row r="1123" spans="1:7" x14ac:dyDescent="0.25">
      <c r="A1123" t="s">
        <v>241</v>
      </c>
      <c r="B1123" s="2">
        <v>255</v>
      </c>
      <c r="C1123" s="2">
        <v>74</v>
      </c>
      <c r="D1123" s="1">
        <v>5</v>
      </c>
      <c r="E1123" t="s">
        <v>23</v>
      </c>
      <c r="F1123" t="s">
        <v>30</v>
      </c>
      <c r="G1123" t="s">
        <v>10</v>
      </c>
    </row>
    <row r="1124" spans="1:7" x14ac:dyDescent="0.25">
      <c r="A1124" t="s">
        <v>370</v>
      </c>
      <c r="B1124" s="2">
        <v>360</v>
      </c>
      <c r="C1124" s="2">
        <v>32</v>
      </c>
      <c r="D1124" s="1">
        <v>3</v>
      </c>
      <c r="E1124" t="s">
        <v>23</v>
      </c>
      <c r="F1124" t="s">
        <v>26</v>
      </c>
      <c r="G1124" t="s">
        <v>28</v>
      </c>
    </row>
    <row r="1125" spans="1:7" x14ac:dyDescent="0.25">
      <c r="A1125" t="s">
        <v>202</v>
      </c>
      <c r="B1125" s="2">
        <v>372</v>
      </c>
      <c r="C1125" s="2">
        <v>59</v>
      </c>
      <c r="D1125" s="1">
        <v>3</v>
      </c>
      <c r="E1125" t="s">
        <v>8</v>
      </c>
      <c r="F1125" t="s">
        <v>18</v>
      </c>
      <c r="G1125" t="s">
        <v>28</v>
      </c>
    </row>
    <row r="1126" spans="1:7" x14ac:dyDescent="0.25">
      <c r="A1126" t="s">
        <v>171</v>
      </c>
      <c r="B1126" s="2">
        <v>61</v>
      </c>
      <c r="C1126" s="2">
        <v>30</v>
      </c>
      <c r="D1126" s="1">
        <v>2</v>
      </c>
      <c r="E1126" t="s">
        <v>23</v>
      </c>
      <c r="F1126" t="s">
        <v>30</v>
      </c>
      <c r="G1126" t="s">
        <v>28</v>
      </c>
    </row>
    <row r="1127" spans="1:7" x14ac:dyDescent="0.25">
      <c r="A1127" t="s">
        <v>107</v>
      </c>
      <c r="B1127" s="2">
        <v>42</v>
      </c>
      <c r="C1127" s="2">
        <v>12</v>
      </c>
      <c r="D1127" s="1">
        <v>5</v>
      </c>
      <c r="E1127" t="s">
        <v>23</v>
      </c>
      <c r="F1127" t="s">
        <v>30</v>
      </c>
      <c r="G1127" t="s">
        <v>10</v>
      </c>
    </row>
    <row r="1128" spans="1:7" x14ac:dyDescent="0.25">
      <c r="A1128" t="s">
        <v>229</v>
      </c>
      <c r="B1128" s="2">
        <v>42</v>
      </c>
      <c r="C1128" s="2">
        <v>-26</v>
      </c>
      <c r="D1128" s="1">
        <v>2</v>
      </c>
      <c r="E1128" t="s">
        <v>23</v>
      </c>
      <c r="F1128" t="s">
        <v>32</v>
      </c>
      <c r="G1128" t="s">
        <v>10</v>
      </c>
    </row>
    <row r="1129" spans="1:7" x14ac:dyDescent="0.25">
      <c r="A1129" t="s">
        <v>483</v>
      </c>
      <c r="B1129" s="2">
        <v>61</v>
      </c>
      <c r="C1129" s="2">
        <v>25</v>
      </c>
      <c r="D1129" s="1">
        <v>4</v>
      </c>
      <c r="E1129" t="s">
        <v>23</v>
      </c>
      <c r="F1129" t="s">
        <v>26</v>
      </c>
      <c r="G1129" t="s">
        <v>28</v>
      </c>
    </row>
    <row r="1130" spans="1:7" x14ac:dyDescent="0.25">
      <c r="A1130" t="s">
        <v>50</v>
      </c>
      <c r="B1130" s="2">
        <v>41</v>
      </c>
      <c r="C1130" s="2">
        <v>11</v>
      </c>
      <c r="D1130" s="1">
        <v>6</v>
      </c>
      <c r="E1130" t="s">
        <v>23</v>
      </c>
      <c r="F1130" t="s">
        <v>30</v>
      </c>
      <c r="G1130" t="s">
        <v>10</v>
      </c>
    </row>
    <row r="1131" spans="1:7" x14ac:dyDescent="0.25">
      <c r="A1131" t="s">
        <v>165</v>
      </c>
      <c r="B1131" s="2">
        <v>40</v>
      </c>
      <c r="C1131" s="2">
        <v>13</v>
      </c>
      <c r="D1131" s="1">
        <v>3</v>
      </c>
      <c r="E1131" t="s">
        <v>23</v>
      </c>
      <c r="F1131" t="s">
        <v>81</v>
      </c>
      <c r="G1131" t="s">
        <v>10</v>
      </c>
    </row>
    <row r="1132" spans="1:7" x14ac:dyDescent="0.25">
      <c r="A1132" t="s">
        <v>145</v>
      </c>
      <c r="B1132" s="2">
        <v>59</v>
      </c>
      <c r="C1132" s="2">
        <v>21</v>
      </c>
      <c r="D1132" s="1">
        <v>2</v>
      </c>
      <c r="E1132" t="s">
        <v>23</v>
      </c>
      <c r="F1132" t="s">
        <v>57</v>
      </c>
      <c r="G1132" t="s">
        <v>28</v>
      </c>
    </row>
    <row r="1133" spans="1:7" x14ac:dyDescent="0.25">
      <c r="A1133" t="s">
        <v>300</v>
      </c>
      <c r="B1133" s="2">
        <v>57</v>
      </c>
      <c r="C1133" s="2">
        <v>27</v>
      </c>
      <c r="D1133" s="1">
        <v>2</v>
      </c>
      <c r="E1133" t="s">
        <v>23</v>
      </c>
      <c r="F1133" t="s">
        <v>142</v>
      </c>
      <c r="G1133" t="s">
        <v>28</v>
      </c>
    </row>
    <row r="1134" spans="1:7" x14ac:dyDescent="0.25">
      <c r="A1134" t="s">
        <v>27</v>
      </c>
      <c r="B1134" s="2">
        <v>17</v>
      </c>
      <c r="C1134" s="2">
        <v>6</v>
      </c>
      <c r="D1134" s="1">
        <v>1</v>
      </c>
      <c r="E1134" t="s">
        <v>23</v>
      </c>
      <c r="F1134" t="s">
        <v>57</v>
      </c>
      <c r="G1134" t="s">
        <v>28</v>
      </c>
    </row>
    <row r="1135" spans="1:7" x14ac:dyDescent="0.25">
      <c r="A1135" t="s">
        <v>194</v>
      </c>
      <c r="B1135" s="2">
        <v>40</v>
      </c>
      <c r="C1135" s="2">
        <v>10</v>
      </c>
      <c r="D1135" s="1">
        <v>2</v>
      </c>
      <c r="E1135" t="s">
        <v>23</v>
      </c>
      <c r="F1135" t="s">
        <v>57</v>
      </c>
      <c r="G1135" t="s">
        <v>10</v>
      </c>
    </row>
    <row r="1136" spans="1:7" x14ac:dyDescent="0.25">
      <c r="A1136" t="s">
        <v>341</v>
      </c>
      <c r="B1136" s="2">
        <v>349</v>
      </c>
      <c r="C1136" s="2">
        <v>-24</v>
      </c>
      <c r="D1136" s="1">
        <v>2</v>
      </c>
      <c r="E1136" t="s">
        <v>23</v>
      </c>
      <c r="F1136" t="s">
        <v>26</v>
      </c>
      <c r="G1136" t="s">
        <v>82</v>
      </c>
    </row>
    <row r="1137" spans="1:7" x14ac:dyDescent="0.25">
      <c r="A1137" t="s">
        <v>484</v>
      </c>
      <c r="B1137" s="2">
        <v>335</v>
      </c>
      <c r="C1137" s="2">
        <v>-22</v>
      </c>
      <c r="D1137" s="1">
        <v>7</v>
      </c>
      <c r="E1137" t="s">
        <v>12</v>
      </c>
      <c r="F1137" t="s">
        <v>13</v>
      </c>
      <c r="G1137" t="s">
        <v>28</v>
      </c>
    </row>
    <row r="1138" spans="1:7" x14ac:dyDescent="0.25">
      <c r="A1138" t="s">
        <v>234</v>
      </c>
      <c r="B1138" s="2">
        <v>40</v>
      </c>
      <c r="C1138" s="2">
        <v>16</v>
      </c>
      <c r="D1138" s="1">
        <v>3</v>
      </c>
      <c r="E1138" t="s">
        <v>23</v>
      </c>
      <c r="F1138" t="s">
        <v>30</v>
      </c>
      <c r="G1138" t="s">
        <v>10</v>
      </c>
    </row>
    <row r="1139" spans="1:7" x14ac:dyDescent="0.25">
      <c r="A1139" t="s">
        <v>83</v>
      </c>
      <c r="B1139" s="2">
        <v>40</v>
      </c>
      <c r="C1139" s="2">
        <v>17</v>
      </c>
      <c r="D1139" s="1">
        <v>2</v>
      </c>
      <c r="E1139" t="s">
        <v>23</v>
      </c>
      <c r="F1139" t="s">
        <v>57</v>
      </c>
      <c r="G1139" t="s">
        <v>10</v>
      </c>
    </row>
    <row r="1140" spans="1:7" x14ac:dyDescent="0.25">
      <c r="A1140" t="s">
        <v>229</v>
      </c>
      <c r="B1140" s="2">
        <v>40</v>
      </c>
      <c r="C1140" s="2">
        <v>-7</v>
      </c>
      <c r="D1140" s="1">
        <v>3</v>
      </c>
      <c r="E1140" t="s">
        <v>23</v>
      </c>
      <c r="F1140" t="s">
        <v>57</v>
      </c>
      <c r="G1140" t="s">
        <v>10</v>
      </c>
    </row>
    <row r="1141" spans="1:7" x14ac:dyDescent="0.25">
      <c r="A1141" t="s">
        <v>292</v>
      </c>
      <c r="B1141" s="2">
        <v>352</v>
      </c>
      <c r="C1141" s="2">
        <v>74</v>
      </c>
      <c r="D1141" s="1">
        <v>8</v>
      </c>
      <c r="E1141" t="s">
        <v>23</v>
      </c>
      <c r="F1141" t="s">
        <v>57</v>
      </c>
      <c r="G1141" t="s">
        <v>82</v>
      </c>
    </row>
    <row r="1142" spans="1:7" x14ac:dyDescent="0.25">
      <c r="A1142" t="s">
        <v>218</v>
      </c>
      <c r="B1142" s="2">
        <v>55</v>
      </c>
      <c r="C1142" s="2">
        <v>-26</v>
      </c>
      <c r="D1142" s="1">
        <v>4</v>
      </c>
      <c r="E1142" t="s">
        <v>23</v>
      </c>
      <c r="F1142" t="s">
        <v>26</v>
      </c>
      <c r="G1142" t="s">
        <v>28</v>
      </c>
    </row>
    <row r="1143" spans="1:7" x14ac:dyDescent="0.25">
      <c r="A1143" t="s">
        <v>133</v>
      </c>
      <c r="B1143" s="2">
        <v>352</v>
      </c>
      <c r="C1143" s="2">
        <v>18</v>
      </c>
      <c r="D1143" s="1">
        <v>5</v>
      </c>
      <c r="E1143" t="s">
        <v>23</v>
      </c>
      <c r="F1143" t="s">
        <v>24</v>
      </c>
      <c r="G1143" t="s">
        <v>82</v>
      </c>
    </row>
    <row r="1144" spans="1:7" x14ac:dyDescent="0.25">
      <c r="A1144" t="s">
        <v>62</v>
      </c>
      <c r="B1144" s="2">
        <v>53</v>
      </c>
      <c r="C1144" s="2">
        <v>-18</v>
      </c>
      <c r="D1144" s="1">
        <v>4</v>
      </c>
      <c r="E1144" t="s">
        <v>23</v>
      </c>
      <c r="F1144" t="s">
        <v>81</v>
      </c>
      <c r="G1144" t="s">
        <v>28</v>
      </c>
    </row>
    <row r="1145" spans="1:7" x14ac:dyDescent="0.25">
      <c r="A1145" t="s">
        <v>461</v>
      </c>
      <c r="B1145" s="2">
        <v>51</v>
      </c>
      <c r="C1145" s="2">
        <v>7</v>
      </c>
      <c r="D1145" s="1">
        <v>2</v>
      </c>
      <c r="E1145" t="s">
        <v>12</v>
      </c>
      <c r="F1145" t="s">
        <v>131</v>
      </c>
      <c r="G1145" t="s">
        <v>28</v>
      </c>
    </row>
    <row r="1146" spans="1:7" x14ac:dyDescent="0.25">
      <c r="A1146" t="s">
        <v>438</v>
      </c>
      <c r="B1146" s="2">
        <v>40</v>
      </c>
      <c r="C1146" s="2">
        <v>-37</v>
      </c>
      <c r="D1146" s="1">
        <v>3</v>
      </c>
      <c r="E1146" t="s">
        <v>23</v>
      </c>
      <c r="F1146" t="s">
        <v>57</v>
      </c>
      <c r="G1146" t="s">
        <v>10</v>
      </c>
    </row>
    <row r="1147" spans="1:7" x14ac:dyDescent="0.25">
      <c r="A1147" t="s">
        <v>225</v>
      </c>
      <c r="B1147" s="2">
        <v>39</v>
      </c>
      <c r="C1147" s="2">
        <v>14</v>
      </c>
      <c r="D1147" s="1">
        <v>5</v>
      </c>
      <c r="E1147" t="s">
        <v>23</v>
      </c>
      <c r="F1147" t="s">
        <v>63</v>
      </c>
      <c r="G1147" t="s">
        <v>10</v>
      </c>
    </row>
    <row r="1148" spans="1:7" x14ac:dyDescent="0.25">
      <c r="A1148" t="s">
        <v>485</v>
      </c>
      <c r="B1148" s="2">
        <v>355</v>
      </c>
      <c r="C1148" s="2">
        <v>-4</v>
      </c>
      <c r="D1148" s="1">
        <v>2</v>
      </c>
      <c r="E1148" t="s">
        <v>23</v>
      </c>
      <c r="F1148" t="s">
        <v>26</v>
      </c>
      <c r="G1148" t="s">
        <v>82</v>
      </c>
    </row>
    <row r="1149" spans="1:7" x14ac:dyDescent="0.25">
      <c r="A1149" t="s">
        <v>27</v>
      </c>
      <c r="B1149" s="2">
        <v>357</v>
      </c>
      <c r="C1149" s="2">
        <v>139</v>
      </c>
      <c r="D1149" s="1">
        <v>2</v>
      </c>
      <c r="E1149" t="s">
        <v>23</v>
      </c>
      <c r="F1149" t="s">
        <v>26</v>
      </c>
      <c r="G1149" t="s">
        <v>82</v>
      </c>
    </row>
    <row r="1150" spans="1:7" x14ac:dyDescent="0.25">
      <c r="A1150" t="s">
        <v>149</v>
      </c>
      <c r="B1150" s="2">
        <v>38</v>
      </c>
      <c r="C1150" s="2">
        <v>18</v>
      </c>
      <c r="D1150" s="1">
        <v>1</v>
      </c>
      <c r="E1150" t="s">
        <v>23</v>
      </c>
      <c r="F1150" t="s">
        <v>32</v>
      </c>
      <c r="G1150" t="s">
        <v>10</v>
      </c>
    </row>
    <row r="1151" spans="1:7" x14ac:dyDescent="0.25">
      <c r="A1151" t="s">
        <v>230</v>
      </c>
      <c r="B1151" s="2">
        <v>38</v>
      </c>
      <c r="C1151" s="2">
        <v>9</v>
      </c>
      <c r="D1151" s="1">
        <v>2</v>
      </c>
      <c r="E1151" t="s">
        <v>23</v>
      </c>
      <c r="F1151" t="s">
        <v>57</v>
      </c>
      <c r="G1151" t="s">
        <v>10</v>
      </c>
    </row>
    <row r="1152" spans="1:7" x14ac:dyDescent="0.25">
      <c r="A1152" t="s">
        <v>326</v>
      </c>
      <c r="B1152" s="2">
        <v>141</v>
      </c>
      <c r="C1152" s="2">
        <v>10</v>
      </c>
      <c r="D1152" s="1">
        <v>4</v>
      </c>
      <c r="E1152" t="s">
        <v>23</v>
      </c>
      <c r="F1152" t="s">
        <v>142</v>
      </c>
      <c r="G1152" t="s">
        <v>28</v>
      </c>
    </row>
    <row r="1153" spans="1:7" x14ac:dyDescent="0.25">
      <c r="A1153" t="s">
        <v>424</v>
      </c>
      <c r="B1153" s="2">
        <v>36</v>
      </c>
      <c r="C1153" s="2">
        <v>4</v>
      </c>
      <c r="D1153" s="1">
        <v>9</v>
      </c>
      <c r="E1153" t="s">
        <v>23</v>
      </c>
      <c r="F1153" t="s">
        <v>30</v>
      </c>
      <c r="G1153" t="s">
        <v>10</v>
      </c>
    </row>
    <row r="1154" spans="1:7" x14ac:dyDescent="0.25">
      <c r="A1154" t="s">
        <v>165</v>
      </c>
      <c r="B1154" s="2">
        <v>351</v>
      </c>
      <c r="C1154" s="2">
        <v>-94</v>
      </c>
      <c r="D1154" s="1">
        <v>5</v>
      </c>
      <c r="E1154" t="s">
        <v>8</v>
      </c>
      <c r="F1154" t="s">
        <v>9</v>
      </c>
      <c r="G1154" t="s">
        <v>10</v>
      </c>
    </row>
    <row r="1155" spans="1:7" x14ac:dyDescent="0.25">
      <c r="A1155" t="s">
        <v>231</v>
      </c>
      <c r="B1155" s="2">
        <v>369</v>
      </c>
      <c r="C1155" s="2">
        <v>15</v>
      </c>
      <c r="D1155" s="1">
        <v>3</v>
      </c>
      <c r="E1155" t="s">
        <v>8</v>
      </c>
      <c r="F1155" t="s">
        <v>9</v>
      </c>
      <c r="G1155" t="s">
        <v>82</v>
      </c>
    </row>
    <row r="1156" spans="1:7" x14ac:dyDescent="0.25">
      <c r="A1156" t="s">
        <v>31</v>
      </c>
      <c r="B1156" s="2">
        <v>53</v>
      </c>
      <c r="C1156" s="2">
        <v>24</v>
      </c>
      <c r="D1156" s="1">
        <v>6</v>
      </c>
      <c r="E1156" t="s">
        <v>23</v>
      </c>
      <c r="F1156" t="s">
        <v>30</v>
      </c>
      <c r="G1156" t="s">
        <v>14</v>
      </c>
    </row>
    <row r="1157" spans="1:7" x14ac:dyDescent="0.25">
      <c r="A1157" t="s">
        <v>486</v>
      </c>
      <c r="B1157" s="2">
        <v>371</v>
      </c>
      <c r="C1157" s="2">
        <v>115</v>
      </c>
      <c r="D1157" s="1">
        <v>1</v>
      </c>
      <c r="E1157" t="s">
        <v>12</v>
      </c>
      <c r="F1157" t="s">
        <v>16</v>
      </c>
      <c r="G1157" t="s">
        <v>82</v>
      </c>
    </row>
    <row r="1158" spans="1:7" x14ac:dyDescent="0.25">
      <c r="A1158" t="s">
        <v>115</v>
      </c>
      <c r="B1158" s="2">
        <v>499</v>
      </c>
      <c r="C1158" s="2">
        <v>33</v>
      </c>
      <c r="D1158" s="1">
        <v>4</v>
      </c>
      <c r="E1158" t="s">
        <v>23</v>
      </c>
      <c r="F1158" t="s">
        <v>26</v>
      </c>
      <c r="G1158" t="s">
        <v>10</v>
      </c>
    </row>
    <row r="1159" spans="1:7" x14ac:dyDescent="0.25">
      <c r="A1159" t="s">
        <v>202</v>
      </c>
      <c r="B1159" s="2">
        <v>223</v>
      </c>
      <c r="C1159" s="2">
        <v>62</v>
      </c>
      <c r="D1159" s="1">
        <v>7</v>
      </c>
      <c r="E1159" t="s">
        <v>23</v>
      </c>
      <c r="F1159" t="s">
        <v>142</v>
      </c>
      <c r="G1159" t="s">
        <v>10</v>
      </c>
    </row>
    <row r="1160" spans="1:7" x14ac:dyDescent="0.25">
      <c r="A1160" t="s">
        <v>223</v>
      </c>
      <c r="B1160" s="2">
        <v>50</v>
      </c>
      <c r="C1160" s="2">
        <v>-4</v>
      </c>
      <c r="D1160" s="1">
        <v>6</v>
      </c>
      <c r="E1160" t="s">
        <v>23</v>
      </c>
      <c r="F1160" t="s">
        <v>81</v>
      </c>
      <c r="G1160" t="s">
        <v>14</v>
      </c>
    </row>
    <row r="1161" spans="1:7" x14ac:dyDescent="0.25">
      <c r="A1161" t="s">
        <v>211</v>
      </c>
      <c r="B1161" s="2">
        <v>391</v>
      </c>
      <c r="C1161" s="2">
        <v>90</v>
      </c>
      <c r="D1161" s="1">
        <v>6</v>
      </c>
      <c r="E1161" t="s">
        <v>8</v>
      </c>
      <c r="F1161" t="s">
        <v>21</v>
      </c>
      <c r="G1161" t="s">
        <v>82</v>
      </c>
    </row>
    <row r="1162" spans="1:7" x14ac:dyDescent="0.25">
      <c r="A1162" t="s">
        <v>487</v>
      </c>
      <c r="B1162" s="2">
        <v>416</v>
      </c>
      <c r="C1162" s="2">
        <v>137</v>
      </c>
      <c r="D1162" s="1">
        <v>3</v>
      </c>
      <c r="E1162" t="s">
        <v>8</v>
      </c>
      <c r="F1162" t="s">
        <v>21</v>
      </c>
      <c r="G1162" t="s">
        <v>82</v>
      </c>
    </row>
    <row r="1163" spans="1:7" x14ac:dyDescent="0.25">
      <c r="A1163" t="s">
        <v>469</v>
      </c>
      <c r="B1163" s="2">
        <v>424</v>
      </c>
      <c r="C1163" s="2">
        <v>-17</v>
      </c>
      <c r="D1163" s="1">
        <v>9</v>
      </c>
      <c r="E1163" t="s">
        <v>12</v>
      </c>
      <c r="F1163" t="s">
        <v>13</v>
      </c>
      <c r="G1163" t="s">
        <v>82</v>
      </c>
    </row>
    <row r="1164" spans="1:7" x14ac:dyDescent="0.25">
      <c r="A1164" t="s">
        <v>65</v>
      </c>
      <c r="B1164" s="2">
        <v>362</v>
      </c>
      <c r="C1164" s="2">
        <v>127</v>
      </c>
      <c r="D1164" s="1">
        <v>1</v>
      </c>
      <c r="E1164" t="s">
        <v>12</v>
      </c>
      <c r="F1164" t="s">
        <v>16</v>
      </c>
      <c r="G1164" t="s">
        <v>10</v>
      </c>
    </row>
    <row r="1165" spans="1:7" x14ac:dyDescent="0.25">
      <c r="A1165" t="s">
        <v>29</v>
      </c>
      <c r="B1165" s="2">
        <v>36</v>
      </c>
      <c r="C1165" s="2">
        <v>-7</v>
      </c>
      <c r="D1165" s="1">
        <v>1</v>
      </c>
      <c r="E1165" t="s">
        <v>8</v>
      </c>
      <c r="F1165" t="s">
        <v>9</v>
      </c>
      <c r="G1165" t="s">
        <v>10</v>
      </c>
    </row>
    <row r="1166" spans="1:7" x14ac:dyDescent="0.25">
      <c r="A1166" t="s">
        <v>209</v>
      </c>
      <c r="B1166" s="2">
        <v>34</v>
      </c>
      <c r="C1166" s="2">
        <v>-10</v>
      </c>
      <c r="D1166" s="1">
        <v>3</v>
      </c>
      <c r="E1166" t="s">
        <v>23</v>
      </c>
      <c r="F1166" t="s">
        <v>43</v>
      </c>
      <c r="G1166" t="s">
        <v>10</v>
      </c>
    </row>
    <row r="1167" spans="1:7" x14ac:dyDescent="0.25">
      <c r="A1167" t="s">
        <v>186</v>
      </c>
      <c r="B1167" s="2">
        <v>367</v>
      </c>
      <c r="C1167" s="2">
        <v>73</v>
      </c>
      <c r="D1167" s="1">
        <v>3</v>
      </c>
      <c r="E1167" t="s">
        <v>8</v>
      </c>
      <c r="F1167" t="s">
        <v>9</v>
      </c>
      <c r="G1167" t="s">
        <v>28</v>
      </c>
    </row>
    <row r="1168" spans="1:7" x14ac:dyDescent="0.25">
      <c r="A1168" t="s">
        <v>167</v>
      </c>
      <c r="B1168" s="2">
        <v>425</v>
      </c>
      <c r="C1168" s="2">
        <v>208</v>
      </c>
      <c r="D1168" s="1">
        <v>7</v>
      </c>
      <c r="E1168" t="s">
        <v>23</v>
      </c>
      <c r="F1168" t="s">
        <v>26</v>
      </c>
      <c r="G1168" t="s">
        <v>82</v>
      </c>
    </row>
    <row r="1169" spans="1:7" x14ac:dyDescent="0.25">
      <c r="A1169" t="s">
        <v>400</v>
      </c>
      <c r="B1169" s="2">
        <v>433</v>
      </c>
      <c r="C1169" s="2">
        <v>26</v>
      </c>
      <c r="D1169" s="1">
        <v>3</v>
      </c>
      <c r="E1169" t="s">
        <v>8</v>
      </c>
      <c r="F1169" t="s">
        <v>18</v>
      </c>
      <c r="G1169" t="s">
        <v>82</v>
      </c>
    </row>
    <row r="1170" spans="1:7" x14ac:dyDescent="0.25">
      <c r="A1170" t="s">
        <v>486</v>
      </c>
      <c r="B1170" s="2">
        <v>460</v>
      </c>
      <c r="C1170" s="2">
        <v>31</v>
      </c>
      <c r="D1170" s="1">
        <v>3</v>
      </c>
      <c r="E1170" t="s">
        <v>12</v>
      </c>
      <c r="F1170" t="s">
        <v>16</v>
      </c>
      <c r="G1170" t="s">
        <v>82</v>
      </c>
    </row>
    <row r="1171" spans="1:7" x14ac:dyDescent="0.25">
      <c r="A1171" t="s">
        <v>288</v>
      </c>
      <c r="B1171" s="2">
        <v>62</v>
      </c>
      <c r="C1171" s="2">
        <v>-56</v>
      </c>
      <c r="D1171" s="1">
        <v>5</v>
      </c>
      <c r="E1171" t="s">
        <v>23</v>
      </c>
      <c r="F1171" t="s">
        <v>32</v>
      </c>
      <c r="G1171" t="s">
        <v>10</v>
      </c>
    </row>
    <row r="1172" spans="1:7" x14ac:dyDescent="0.25">
      <c r="A1172" t="s">
        <v>113</v>
      </c>
      <c r="B1172" s="2">
        <v>50</v>
      </c>
      <c r="C1172" s="2">
        <v>16</v>
      </c>
      <c r="D1172" s="1">
        <v>1</v>
      </c>
      <c r="E1172" t="s">
        <v>23</v>
      </c>
      <c r="F1172" t="s">
        <v>57</v>
      </c>
      <c r="G1172" t="s">
        <v>14</v>
      </c>
    </row>
    <row r="1173" spans="1:7" x14ac:dyDescent="0.25">
      <c r="A1173" t="s">
        <v>401</v>
      </c>
      <c r="B1173" s="2">
        <v>460</v>
      </c>
      <c r="C1173" s="2">
        <v>-143</v>
      </c>
      <c r="D1173" s="1">
        <v>3</v>
      </c>
      <c r="E1173" t="s">
        <v>12</v>
      </c>
      <c r="F1173" t="s">
        <v>13</v>
      </c>
      <c r="G1173" t="s">
        <v>82</v>
      </c>
    </row>
    <row r="1174" spans="1:7" x14ac:dyDescent="0.25">
      <c r="A1174" t="s">
        <v>297</v>
      </c>
      <c r="B1174" s="2">
        <v>34</v>
      </c>
      <c r="C1174" s="2">
        <v>3</v>
      </c>
      <c r="D1174" s="1">
        <v>3</v>
      </c>
      <c r="E1174" t="s">
        <v>23</v>
      </c>
      <c r="F1174" t="s">
        <v>26</v>
      </c>
      <c r="G1174" t="s">
        <v>10</v>
      </c>
    </row>
    <row r="1175" spans="1:7" x14ac:dyDescent="0.25">
      <c r="A1175" t="s">
        <v>291</v>
      </c>
      <c r="B1175" s="2">
        <v>227</v>
      </c>
      <c r="C1175" s="2">
        <v>59</v>
      </c>
      <c r="D1175" s="1">
        <v>2</v>
      </c>
      <c r="E1175" t="s">
        <v>12</v>
      </c>
      <c r="F1175" t="s">
        <v>131</v>
      </c>
      <c r="G1175" t="s">
        <v>28</v>
      </c>
    </row>
    <row r="1176" spans="1:7" x14ac:dyDescent="0.25">
      <c r="A1176" t="s">
        <v>408</v>
      </c>
      <c r="B1176" s="2">
        <v>469</v>
      </c>
      <c r="C1176" s="2">
        <v>33</v>
      </c>
      <c r="D1176" s="1">
        <v>4</v>
      </c>
      <c r="E1176" t="s">
        <v>8</v>
      </c>
      <c r="F1176" t="s">
        <v>9</v>
      </c>
      <c r="G1176" t="s">
        <v>82</v>
      </c>
    </row>
    <row r="1177" spans="1:7" x14ac:dyDescent="0.25">
      <c r="A1177" t="s">
        <v>31</v>
      </c>
      <c r="B1177" s="2">
        <v>103</v>
      </c>
      <c r="C1177" s="2">
        <v>46</v>
      </c>
      <c r="D1177" s="1">
        <v>2</v>
      </c>
      <c r="E1177" t="s">
        <v>23</v>
      </c>
      <c r="F1177" t="s">
        <v>26</v>
      </c>
      <c r="G1177" t="s">
        <v>28</v>
      </c>
    </row>
    <row r="1178" spans="1:7" x14ac:dyDescent="0.25">
      <c r="A1178" t="s">
        <v>279</v>
      </c>
      <c r="B1178" s="2">
        <v>34</v>
      </c>
      <c r="C1178" s="2">
        <v>-13</v>
      </c>
      <c r="D1178" s="1">
        <v>5</v>
      </c>
      <c r="E1178" t="s">
        <v>23</v>
      </c>
      <c r="F1178" t="s">
        <v>63</v>
      </c>
      <c r="G1178" t="s">
        <v>10</v>
      </c>
    </row>
    <row r="1179" spans="1:7" x14ac:dyDescent="0.25">
      <c r="A1179" t="s">
        <v>174</v>
      </c>
      <c r="B1179" s="2">
        <v>137</v>
      </c>
      <c r="C1179" s="2">
        <v>63</v>
      </c>
      <c r="D1179" s="1">
        <v>3</v>
      </c>
      <c r="E1179" t="s">
        <v>23</v>
      </c>
      <c r="F1179" t="s">
        <v>57</v>
      </c>
      <c r="G1179" t="s">
        <v>10</v>
      </c>
    </row>
    <row r="1180" spans="1:7" x14ac:dyDescent="0.25">
      <c r="A1180" t="s">
        <v>488</v>
      </c>
      <c r="B1180" s="2">
        <v>34</v>
      </c>
      <c r="C1180" s="2">
        <v>12</v>
      </c>
      <c r="D1180" s="1">
        <v>2</v>
      </c>
      <c r="E1180" t="s">
        <v>23</v>
      </c>
      <c r="F1180" t="s">
        <v>57</v>
      </c>
      <c r="G1180" t="s">
        <v>10</v>
      </c>
    </row>
    <row r="1181" spans="1:7" x14ac:dyDescent="0.25">
      <c r="A1181" t="s">
        <v>394</v>
      </c>
      <c r="B1181" s="2">
        <v>474</v>
      </c>
      <c r="C1181" s="2">
        <v>56</v>
      </c>
      <c r="D1181" s="1">
        <v>4</v>
      </c>
      <c r="E1181" t="s">
        <v>8</v>
      </c>
      <c r="F1181" t="s">
        <v>21</v>
      </c>
      <c r="G1181" t="s">
        <v>82</v>
      </c>
    </row>
    <row r="1182" spans="1:7" x14ac:dyDescent="0.25">
      <c r="A1182" t="s">
        <v>271</v>
      </c>
      <c r="B1182" s="2">
        <v>50</v>
      </c>
      <c r="C1182" s="2">
        <v>3</v>
      </c>
      <c r="D1182" s="1">
        <v>2</v>
      </c>
      <c r="E1182" t="s">
        <v>23</v>
      </c>
      <c r="F1182" t="s">
        <v>57</v>
      </c>
      <c r="G1182" t="s">
        <v>14</v>
      </c>
    </row>
    <row r="1183" spans="1:7" x14ac:dyDescent="0.25">
      <c r="A1183" t="s">
        <v>97</v>
      </c>
      <c r="B1183" s="2">
        <v>69</v>
      </c>
      <c r="C1183" s="2">
        <v>-67</v>
      </c>
      <c r="D1183" s="1">
        <v>4</v>
      </c>
      <c r="E1183" t="s">
        <v>23</v>
      </c>
      <c r="F1183" t="s">
        <v>32</v>
      </c>
      <c r="G1183" t="s">
        <v>28</v>
      </c>
    </row>
    <row r="1184" spans="1:7" x14ac:dyDescent="0.25">
      <c r="A1184" t="s">
        <v>489</v>
      </c>
      <c r="B1184" s="2">
        <v>389</v>
      </c>
      <c r="C1184" s="2">
        <v>-83</v>
      </c>
      <c r="D1184" s="1">
        <v>3</v>
      </c>
      <c r="E1184" t="s">
        <v>12</v>
      </c>
      <c r="F1184" t="s">
        <v>13</v>
      </c>
      <c r="G1184" t="s">
        <v>28</v>
      </c>
    </row>
    <row r="1185" spans="1:7" x14ac:dyDescent="0.25">
      <c r="A1185" t="s">
        <v>288</v>
      </c>
      <c r="B1185" s="2">
        <v>77</v>
      </c>
      <c r="C1185" s="2">
        <v>-43</v>
      </c>
      <c r="D1185" s="1">
        <v>8</v>
      </c>
      <c r="E1185" t="s">
        <v>23</v>
      </c>
      <c r="F1185" t="s">
        <v>57</v>
      </c>
      <c r="G1185" t="s">
        <v>10</v>
      </c>
    </row>
    <row r="1186" spans="1:7" x14ac:dyDescent="0.25">
      <c r="A1186" t="s">
        <v>27</v>
      </c>
      <c r="B1186" s="2">
        <v>51</v>
      </c>
      <c r="C1186" s="2">
        <v>21</v>
      </c>
      <c r="D1186" s="1">
        <v>3</v>
      </c>
      <c r="E1186" t="s">
        <v>23</v>
      </c>
      <c r="F1186" t="s">
        <v>81</v>
      </c>
      <c r="G1186" t="s">
        <v>10</v>
      </c>
    </row>
    <row r="1187" spans="1:7" x14ac:dyDescent="0.25">
      <c r="A1187" t="s">
        <v>146</v>
      </c>
      <c r="B1187" s="2">
        <v>394</v>
      </c>
      <c r="C1187" s="2">
        <v>146</v>
      </c>
      <c r="D1187" s="1">
        <v>2</v>
      </c>
      <c r="E1187" t="s">
        <v>12</v>
      </c>
      <c r="F1187" t="s">
        <v>16</v>
      </c>
      <c r="G1187" t="s">
        <v>28</v>
      </c>
    </row>
    <row r="1188" spans="1:7" x14ac:dyDescent="0.25">
      <c r="A1188" t="s">
        <v>284</v>
      </c>
      <c r="B1188" s="2">
        <v>48</v>
      </c>
      <c r="C1188" s="2">
        <v>-22</v>
      </c>
      <c r="D1188" s="1">
        <v>2</v>
      </c>
      <c r="E1188" t="s">
        <v>23</v>
      </c>
      <c r="F1188" t="s">
        <v>26</v>
      </c>
      <c r="G1188" t="s">
        <v>14</v>
      </c>
    </row>
    <row r="1189" spans="1:7" x14ac:dyDescent="0.25">
      <c r="A1189" t="s">
        <v>209</v>
      </c>
      <c r="B1189" s="2">
        <v>34</v>
      </c>
      <c r="C1189" s="2">
        <v>-12</v>
      </c>
      <c r="D1189" s="1">
        <v>5</v>
      </c>
      <c r="E1189" t="s">
        <v>23</v>
      </c>
      <c r="F1189" t="s">
        <v>63</v>
      </c>
      <c r="G1189" t="s">
        <v>10</v>
      </c>
    </row>
    <row r="1190" spans="1:7" x14ac:dyDescent="0.25">
      <c r="A1190" t="s">
        <v>35</v>
      </c>
      <c r="B1190" s="2">
        <v>484</v>
      </c>
      <c r="C1190" s="2">
        <v>28</v>
      </c>
      <c r="D1190" s="1">
        <v>3</v>
      </c>
      <c r="E1190" t="s">
        <v>8</v>
      </c>
      <c r="F1190" t="s">
        <v>18</v>
      </c>
      <c r="G1190" t="s">
        <v>82</v>
      </c>
    </row>
    <row r="1191" spans="1:7" x14ac:dyDescent="0.25">
      <c r="A1191" t="s">
        <v>272</v>
      </c>
      <c r="B1191" s="2">
        <v>47</v>
      </c>
      <c r="C1191" s="2">
        <v>-27</v>
      </c>
      <c r="D1191" s="1">
        <v>4</v>
      </c>
      <c r="E1191" t="s">
        <v>23</v>
      </c>
      <c r="F1191" t="s">
        <v>26</v>
      </c>
      <c r="G1191" t="s">
        <v>14</v>
      </c>
    </row>
    <row r="1192" spans="1:7" x14ac:dyDescent="0.25">
      <c r="A1192" t="s">
        <v>15</v>
      </c>
      <c r="B1192" s="2">
        <v>45</v>
      </c>
      <c r="C1192" s="2">
        <v>8</v>
      </c>
      <c r="D1192" s="1">
        <v>4</v>
      </c>
      <c r="E1192" t="s">
        <v>23</v>
      </c>
      <c r="F1192" t="s">
        <v>43</v>
      </c>
      <c r="G1192" t="s">
        <v>14</v>
      </c>
    </row>
    <row r="1193" spans="1:7" x14ac:dyDescent="0.25">
      <c r="A1193" t="s">
        <v>490</v>
      </c>
      <c r="B1193" s="2">
        <v>128</v>
      </c>
      <c r="C1193" s="2">
        <v>55</v>
      </c>
      <c r="D1193" s="1">
        <v>1</v>
      </c>
      <c r="E1193" t="s">
        <v>23</v>
      </c>
      <c r="F1193" t="s">
        <v>26</v>
      </c>
      <c r="G1193" t="s">
        <v>10</v>
      </c>
    </row>
    <row r="1194" spans="1:7" x14ac:dyDescent="0.25">
      <c r="A1194" t="s">
        <v>88</v>
      </c>
      <c r="B1194" s="2">
        <v>669</v>
      </c>
      <c r="C1194" s="2">
        <v>74</v>
      </c>
      <c r="D1194" s="1">
        <v>5</v>
      </c>
      <c r="E1194" t="s">
        <v>12</v>
      </c>
      <c r="F1194" t="s">
        <v>16</v>
      </c>
      <c r="G1194" t="s">
        <v>10</v>
      </c>
    </row>
    <row r="1195" spans="1:7" x14ac:dyDescent="0.25">
      <c r="A1195" t="s">
        <v>491</v>
      </c>
      <c r="B1195" s="2">
        <v>34</v>
      </c>
      <c r="C1195" s="2">
        <v>13</v>
      </c>
      <c r="D1195" s="1">
        <v>2</v>
      </c>
      <c r="E1195" t="s">
        <v>23</v>
      </c>
      <c r="F1195" t="s">
        <v>26</v>
      </c>
      <c r="G1195" t="s">
        <v>10</v>
      </c>
    </row>
    <row r="1196" spans="1:7" x14ac:dyDescent="0.25">
      <c r="A1196" t="s">
        <v>255</v>
      </c>
      <c r="B1196" s="2">
        <v>44</v>
      </c>
      <c r="C1196" s="2">
        <v>14</v>
      </c>
      <c r="D1196" s="1">
        <v>3</v>
      </c>
      <c r="E1196" t="s">
        <v>23</v>
      </c>
      <c r="F1196" t="s">
        <v>30</v>
      </c>
      <c r="G1196" t="s">
        <v>19</v>
      </c>
    </row>
    <row r="1197" spans="1:7" x14ac:dyDescent="0.25">
      <c r="A1197" t="s">
        <v>44</v>
      </c>
      <c r="B1197" s="2">
        <v>33</v>
      </c>
      <c r="C1197" s="2">
        <v>1</v>
      </c>
      <c r="D1197" s="1">
        <v>2</v>
      </c>
      <c r="E1197" t="s">
        <v>23</v>
      </c>
      <c r="F1197" t="s">
        <v>142</v>
      </c>
      <c r="G1197" t="s">
        <v>10</v>
      </c>
    </row>
    <row r="1198" spans="1:7" x14ac:dyDescent="0.25">
      <c r="A1198" t="s">
        <v>394</v>
      </c>
      <c r="B1198" s="2">
        <v>33</v>
      </c>
      <c r="C1198" s="2">
        <v>10</v>
      </c>
      <c r="D1198" s="1">
        <v>3</v>
      </c>
      <c r="E1198" t="s">
        <v>23</v>
      </c>
      <c r="F1198" t="s">
        <v>30</v>
      </c>
      <c r="G1198" t="s">
        <v>10</v>
      </c>
    </row>
    <row r="1199" spans="1:7" x14ac:dyDescent="0.25">
      <c r="A1199" t="s">
        <v>130</v>
      </c>
      <c r="B1199" s="2">
        <v>487</v>
      </c>
      <c r="C1199" s="2">
        <v>-23</v>
      </c>
      <c r="D1199" s="1">
        <v>3</v>
      </c>
      <c r="E1199" t="s">
        <v>8</v>
      </c>
      <c r="F1199" t="s">
        <v>18</v>
      </c>
      <c r="G1199" t="s">
        <v>82</v>
      </c>
    </row>
    <row r="1200" spans="1:7" x14ac:dyDescent="0.25">
      <c r="A1200" t="s">
        <v>128</v>
      </c>
      <c r="B1200" s="2">
        <v>497</v>
      </c>
      <c r="C1200" s="2">
        <v>179</v>
      </c>
      <c r="D1200" s="1">
        <v>3</v>
      </c>
      <c r="E1200" t="s">
        <v>12</v>
      </c>
      <c r="F1200" t="s">
        <v>13</v>
      </c>
      <c r="G1200" t="s">
        <v>82</v>
      </c>
    </row>
    <row r="1201" spans="1:7" x14ac:dyDescent="0.25">
      <c r="A1201" t="s">
        <v>106</v>
      </c>
      <c r="B1201" s="2">
        <v>508</v>
      </c>
      <c r="C1201" s="2">
        <v>203</v>
      </c>
      <c r="D1201" s="1">
        <v>2</v>
      </c>
      <c r="E1201" t="s">
        <v>8</v>
      </c>
      <c r="F1201" t="s">
        <v>73</v>
      </c>
      <c r="G1201" t="s">
        <v>82</v>
      </c>
    </row>
    <row r="1202" spans="1:7" x14ac:dyDescent="0.25">
      <c r="A1202" t="s">
        <v>328</v>
      </c>
      <c r="B1202" s="2">
        <v>524</v>
      </c>
      <c r="C1202" s="2">
        <v>-25</v>
      </c>
      <c r="D1202" s="1">
        <v>2</v>
      </c>
      <c r="E1202" t="s">
        <v>8</v>
      </c>
      <c r="F1202" t="s">
        <v>9</v>
      </c>
      <c r="G1202" t="s">
        <v>82</v>
      </c>
    </row>
    <row r="1203" spans="1:7" x14ac:dyDescent="0.25">
      <c r="A1203" t="s">
        <v>492</v>
      </c>
      <c r="B1203" s="2">
        <v>425</v>
      </c>
      <c r="C1203" s="2">
        <v>183</v>
      </c>
      <c r="D1203" s="1">
        <v>5</v>
      </c>
      <c r="E1203" t="s">
        <v>8</v>
      </c>
      <c r="F1203" t="s">
        <v>73</v>
      </c>
      <c r="G1203" t="s">
        <v>28</v>
      </c>
    </row>
    <row r="1204" spans="1:7" x14ac:dyDescent="0.25">
      <c r="A1204" t="s">
        <v>71</v>
      </c>
      <c r="B1204" s="2">
        <v>168</v>
      </c>
      <c r="C1204" s="2">
        <v>56</v>
      </c>
      <c r="D1204" s="1">
        <v>3</v>
      </c>
      <c r="E1204" t="s">
        <v>23</v>
      </c>
      <c r="F1204" t="s">
        <v>26</v>
      </c>
      <c r="G1204" t="s">
        <v>10</v>
      </c>
    </row>
    <row r="1205" spans="1:7" x14ac:dyDescent="0.25">
      <c r="A1205" t="s">
        <v>493</v>
      </c>
      <c r="B1205" s="2">
        <v>141</v>
      </c>
      <c r="C1205" s="2">
        <v>28</v>
      </c>
      <c r="D1205" s="1">
        <v>7</v>
      </c>
      <c r="E1205" t="s">
        <v>12</v>
      </c>
      <c r="F1205" t="s">
        <v>131</v>
      </c>
      <c r="G1205" t="s">
        <v>28</v>
      </c>
    </row>
    <row r="1206" spans="1:7" x14ac:dyDescent="0.25">
      <c r="A1206" t="s">
        <v>157</v>
      </c>
      <c r="B1206" s="2">
        <v>429</v>
      </c>
      <c r="C1206" s="2">
        <v>17</v>
      </c>
      <c r="D1206" s="1">
        <v>3</v>
      </c>
      <c r="E1206" t="s">
        <v>12</v>
      </c>
      <c r="F1206" t="s">
        <v>13</v>
      </c>
      <c r="G1206" t="s">
        <v>28</v>
      </c>
    </row>
    <row r="1207" spans="1:7" x14ac:dyDescent="0.25">
      <c r="A1207" t="s">
        <v>252</v>
      </c>
      <c r="B1207" s="2">
        <v>44</v>
      </c>
      <c r="C1207" s="2">
        <v>-8</v>
      </c>
      <c r="D1207" s="1">
        <v>3</v>
      </c>
      <c r="E1207" t="s">
        <v>23</v>
      </c>
      <c r="F1207" t="s">
        <v>57</v>
      </c>
      <c r="G1207" t="s">
        <v>19</v>
      </c>
    </row>
    <row r="1208" spans="1:7" x14ac:dyDescent="0.25">
      <c r="A1208" t="s">
        <v>203</v>
      </c>
      <c r="B1208" s="2">
        <v>149</v>
      </c>
      <c r="C1208" s="2">
        <v>136</v>
      </c>
      <c r="D1208" s="1">
        <v>3</v>
      </c>
      <c r="E1208" t="s">
        <v>23</v>
      </c>
      <c r="F1208" t="s">
        <v>57</v>
      </c>
      <c r="G1208" t="s">
        <v>28</v>
      </c>
    </row>
    <row r="1209" spans="1:7" x14ac:dyDescent="0.25">
      <c r="A1209" t="s">
        <v>39</v>
      </c>
      <c r="B1209" s="2">
        <v>44</v>
      </c>
      <c r="C1209" s="2">
        <v>-34</v>
      </c>
      <c r="D1209" s="1">
        <v>3</v>
      </c>
      <c r="E1209" t="s">
        <v>23</v>
      </c>
      <c r="F1209" t="s">
        <v>57</v>
      </c>
      <c r="G1209" t="s">
        <v>19</v>
      </c>
    </row>
    <row r="1210" spans="1:7" x14ac:dyDescent="0.25">
      <c r="A1210" t="s">
        <v>185</v>
      </c>
      <c r="B1210" s="2">
        <v>33</v>
      </c>
      <c r="C1210" s="2">
        <v>10</v>
      </c>
      <c r="D1210" s="1">
        <v>3</v>
      </c>
      <c r="E1210" t="s">
        <v>23</v>
      </c>
      <c r="F1210" t="s">
        <v>30</v>
      </c>
      <c r="G1210" t="s">
        <v>10</v>
      </c>
    </row>
    <row r="1211" spans="1:7" x14ac:dyDescent="0.25">
      <c r="A1211" t="s">
        <v>211</v>
      </c>
      <c r="B1211" s="2">
        <v>33</v>
      </c>
      <c r="C1211" s="2">
        <v>9</v>
      </c>
      <c r="D1211" s="1">
        <v>2</v>
      </c>
      <c r="E1211" t="s">
        <v>23</v>
      </c>
      <c r="F1211" t="s">
        <v>30</v>
      </c>
      <c r="G1211" t="s">
        <v>10</v>
      </c>
    </row>
    <row r="1212" spans="1:7" x14ac:dyDescent="0.25">
      <c r="A1212" t="s">
        <v>171</v>
      </c>
      <c r="B1212" s="2">
        <v>442</v>
      </c>
      <c r="C1212" s="2">
        <v>31</v>
      </c>
      <c r="D1212" s="1">
        <v>2</v>
      </c>
      <c r="E1212" t="s">
        <v>8</v>
      </c>
      <c r="F1212" t="s">
        <v>9</v>
      </c>
      <c r="G1212" t="s">
        <v>28</v>
      </c>
    </row>
    <row r="1213" spans="1:7" x14ac:dyDescent="0.25">
      <c r="A1213" t="s">
        <v>100</v>
      </c>
      <c r="B1213" s="2">
        <v>41</v>
      </c>
      <c r="C1213" s="2">
        <v>6</v>
      </c>
      <c r="D1213" s="1">
        <v>5</v>
      </c>
      <c r="E1213" t="s">
        <v>23</v>
      </c>
      <c r="F1213" t="s">
        <v>43</v>
      </c>
      <c r="G1213" t="s">
        <v>19</v>
      </c>
    </row>
    <row r="1214" spans="1:7" x14ac:dyDescent="0.25">
      <c r="A1214" t="s">
        <v>210</v>
      </c>
      <c r="B1214" s="2">
        <v>33</v>
      </c>
      <c r="C1214" s="2">
        <v>-12</v>
      </c>
      <c r="D1214" s="1">
        <v>5</v>
      </c>
      <c r="E1214" t="s">
        <v>23</v>
      </c>
      <c r="F1214" t="s">
        <v>30</v>
      </c>
      <c r="G1214" t="s">
        <v>10</v>
      </c>
    </row>
    <row r="1215" spans="1:7" x14ac:dyDescent="0.25">
      <c r="A1215" t="s">
        <v>494</v>
      </c>
      <c r="B1215" s="2">
        <v>32</v>
      </c>
      <c r="C1215" s="2">
        <v>3</v>
      </c>
      <c r="D1215" s="1">
        <v>8</v>
      </c>
      <c r="E1215" t="s">
        <v>23</v>
      </c>
      <c r="F1215" t="s">
        <v>30</v>
      </c>
      <c r="G1215" t="s">
        <v>10</v>
      </c>
    </row>
    <row r="1216" spans="1:7" x14ac:dyDescent="0.25">
      <c r="A1216" t="s">
        <v>158</v>
      </c>
      <c r="B1216" s="2">
        <v>32</v>
      </c>
      <c r="C1216" s="2">
        <v>6</v>
      </c>
      <c r="D1216" s="1">
        <v>3</v>
      </c>
      <c r="E1216" t="s">
        <v>23</v>
      </c>
      <c r="F1216" t="s">
        <v>142</v>
      </c>
      <c r="G1216" t="s">
        <v>10</v>
      </c>
    </row>
    <row r="1217" spans="1:7" x14ac:dyDescent="0.25">
      <c r="A1217" t="s">
        <v>275</v>
      </c>
      <c r="B1217" s="2">
        <v>179</v>
      </c>
      <c r="C1217" s="2">
        <v>77</v>
      </c>
      <c r="D1217" s="1">
        <v>1</v>
      </c>
      <c r="E1217" t="s">
        <v>23</v>
      </c>
      <c r="F1217" t="s">
        <v>26</v>
      </c>
      <c r="G1217" t="s">
        <v>28</v>
      </c>
    </row>
    <row r="1218" spans="1:7" x14ac:dyDescent="0.25">
      <c r="A1218" t="s">
        <v>386</v>
      </c>
      <c r="B1218" s="2">
        <v>31</v>
      </c>
      <c r="C1218" s="2">
        <v>10</v>
      </c>
      <c r="D1218" s="1">
        <v>1</v>
      </c>
      <c r="E1218" t="s">
        <v>23</v>
      </c>
      <c r="F1218" t="s">
        <v>32</v>
      </c>
      <c r="G1218" t="s">
        <v>10</v>
      </c>
    </row>
    <row r="1219" spans="1:7" x14ac:dyDescent="0.25">
      <c r="A1219" t="s">
        <v>89</v>
      </c>
      <c r="B1219" s="2">
        <v>140</v>
      </c>
      <c r="C1219" s="2">
        <v>68</v>
      </c>
      <c r="D1219" s="1">
        <v>5</v>
      </c>
      <c r="E1219" t="s">
        <v>23</v>
      </c>
      <c r="F1219" t="s">
        <v>81</v>
      </c>
      <c r="G1219" t="s">
        <v>10</v>
      </c>
    </row>
    <row r="1220" spans="1:7" x14ac:dyDescent="0.25">
      <c r="A1220" t="s">
        <v>461</v>
      </c>
      <c r="B1220" s="2">
        <v>529</v>
      </c>
      <c r="C1220" s="2">
        <v>137</v>
      </c>
      <c r="D1220" s="1">
        <v>3</v>
      </c>
      <c r="E1220" t="s">
        <v>8</v>
      </c>
      <c r="F1220" t="s">
        <v>21</v>
      </c>
      <c r="G1220" t="s">
        <v>82</v>
      </c>
    </row>
    <row r="1221" spans="1:7" x14ac:dyDescent="0.25">
      <c r="A1221" t="s">
        <v>495</v>
      </c>
      <c r="B1221" s="2">
        <v>534</v>
      </c>
      <c r="C1221" s="2">
        <v>0</v>
      </c>
      <c r="D1221" s="1">
        <v>3</v>
      </c>
      <c r="E1221" t="s">
        <v>23</v>
      </c>
      <c r="F1221" t="s">
        <v>26</v>
      </c>
      <c r="G1221" t="s">
        <v>82</v>
      </c>
    </row>
    <row r="1222" spans="1:7" x14ac:dyDescent="0.25">
      <c r="A1222" t="s">
        <v>351</v>
      </c>
      <c r="B1222" s="2">
        <v>41</v>
      </c>
      <c r="C1222" s="2">
        <v>-6</v>
      </c>
      <c r="D1222" s="1">
        <v>1</v>
      </c>
      <c r="E1222" t="s">
        <v>12</v>
      </c>
      <c r="F1222" t="s">
        <v>13</v>
      </c>
      <c r="G1222" t="s">
        <v>19</v>
      </c>
    </row>
    <row r="1223" spans="1:7" x14ac:dyDescent="0.25">
      <c r="A1223" t="s">
        <v>208</v>
      </c>
      <c r="B1223" s="2">
        <v>379</v>
      </c>
      <c r="C1223" s="2">
        <v>63</v>
      </c>
      <c r="D1223" s="1">
        <v>2</v>
      </c>
      <c r="E1223" t="s">
        <v>23</v>
      </c>
      <c r="F1223" t="s">
        <v>26</v>
      </c>
      <c r="G1223" t="s">
        <v>10</v>
      </c>
    </row>
    <row r="1224" spans="1:7" x14ac:dyDescent="0.25">
      <c r="A1224" t="s">
        <v>219</v>
      </c>
      <c r="B1224" s="2">
        <v>81</v>
      </c>
      <c r="C1224" s="2">
        <v>-44</v>
      </c>
      <c r="D1224" s="1">
        <v>3</v>
      </c>
      <c r="E1224" t="s">
        <v>23</v>
      </c>
      <c r="F1224" t="s">
        <v>57</v>
      </c>
      <c r="G1224" t="s">
        <v>10</v>
      </c>
    </row>
    <row r="1225" spans="1:7" x14ac:dyDescent="0.25">
      <c r="A1225" t="s">
        <v>307</v>
      </c>
      <c r="B1225" s="2">
        <v>40</v>
      </c>
      <c r="C1225" s="2">
        <v>-33</v>
      </c>
      <c r="D1225" s="1">
        <v>5</v>
      </c>
      <c r="E1225" t="s">
        <v>23</v>
      </c>
      <c r="F1225" t="s">
        <v>30</v>
      </c>
      <c r="G1225" t="s">
        <v>19</v>
      </c>
    </row>
    <row r="1226" spans="1:7" x14ac:dyDescent="0.25">
      <c r="A1226" t="s">
        <v>179</v>
      </c>
      <c r="B1226" s="2">
        <v>40</v>
      </c>
      <c r="C1226" s="2">
        <v>18</v>
      </c>
      <c r="D1226" s="1">
        <v>1</v>
      </c>
      <c r="E1226" t="s">
        <v>8</v>
      </c>
      <c r="F1226" t="s">
        <v>73</v>
      </c>
      <c r="G1226" t="s">
        <v>19</v>
      </c>
    </row>
    <row r="1227" spans="1:7" x14ac:dyDescent="0.25">
      <c r="A1227" t="s">
        <v>123</v>
      </c>
      <c r="B1227" s="2">
        <v>534</v>
      </c>
      <c r="C1227" s="2">
        <v>0</v>
      </c>
      <c r="D1227" s="1">
        <v>3</v>
      </c>
      <c r="E1227" t="s">
        <v>23</v>
      </c>
      <c r="F1227" t="s">
        <v>26</v>
      </c>
      <c r="G1227" t="s">
        <v>82</v>
      </c>
    </row>
    <row r="1228" spans="1:7" x14ac:dyDescent="0.25">
      <c r="A1228" t="s">
        <v>211</v>
      </c>
      <c r="B1228" s="2">
        <v>31</v>
      </c>
      <c r="C1228" s="2">
        <v>9</v>
      </c>
      <c r="D1228" s="1">
        <v>2</v>
      </c>
      <c r="E1228" t="s">
        <v>23</v>
      </c>
      <c r="F1228" t="s">
        <v>30</v>
      </c>
      <c r="G1228" t="s">
        <v>10</v>
      </c>
    </row>
    <row r="1229" spans="1:7" x14ac:dyDescent="0.25">
      <c r="A1229" t="s">
        <v>170</v>
      </c>
      <c r="B1229" s="2">
        <v>473</v>
      </c>
      <c r="C1229" s="2">
        <v>-113</v>
      </c>
      <c r="D1229" s="1">
        <v>9</v>
      </c>
      <c r="E1229" t="s">
        <v>23</v>
      </c>
      <c r="F1229" t="s">
        <v>30</v>
      </c>
      <c r="G1229" t="s">
        <v>28</v>
      </c>
    </row>
    <row r="1230" spans="1:7" x14ac:dyDescent="0.25">
      <c r="A1230" t="s">
        <v>496</v>
      </c>
      <c r="B1230" s="2">
        <v>31</v>
      </c>
      <c r="C1230" s="2">
        <v>-10</v>
      </c>
      <c r="D1230" s="1">
        <v>3</v>
      </c>
      <c r="E1230" t="s">
        <v>23</v>
      </c>
      <c r="F1230" t="s">
        <v>43</v>
      </c>
      <c r="G1230" t="s">
        <v>10</v>
      </c>
    </row>
    <row r="1231" spans="1:7" x14ac:dyDescent="0.25">
      <c r="A1231" t="s">
        <v>469</v>
      </c>
      <c r="B1231" s="2">
        <v>31</v>
      </c>
      <c r="C1231" s="2">
        <v>-3</v>
      </c>
      <c r="D1231" s="1">
        <v>4</v>
      </c>
      <c r="E1231" t="s">
        <v>23</v>
      </c>
      <c r="F1231" t="s">
        <v>26</v>
      </c>
      <c r="G1231" t="s">
        <v>10</v>
      </c>
    </row>
    <row r="1232" spans="1:7" x14ac:dyDescent="0.25">
      <c r="A1232" t="s">
        <v>127</v>
      </c>
      <c r="B1232" s="2">
        <v>91</v>
      </c>
      <c r="C1232" s="2">
        <v>15</v>
      </c>
      <c r="D1232" s="1">
        <v>6</v>
      </c>
      <c r="E1232" t="s">
        <v>23</v>
      </c>
      <c r="F1232" t="s">
        <v>81</v>
      </c>
      <c r="G1232" t="s">
        <v>28</v>
      </c>
    </row>
    <row r="1233" spans="1:7" x14ac:dyDescent="0.25">
      <c r="A1233" t="s">
        <v>276</v>
      </c>
      <c r="B1233" s="2">
        <v>30</v>
      </c>
      <c r="C1233" s="2">
        <v>-25</v>
      </c>
      <c r="D1233" s="1">
        <v>2</v>
      </c>
      <c r="E1233" t="s">
        <v>23</v>
      </c>
      <c r="F1233" t="s">
        <v>81</v>
      </c>
      <c r="G1233" t="s">
        <v>10</v>
      </c>
    </row>
    <row r="1234" spans="1:7" x14ac:dyDescent="0.25">
      <c r="A1234" t="s">
        <v>260</v>
      </c>
      <c r="B1234" s="2">
        <v>30</v>
      </c>
      <c r="C1234" s="2">
        <v>6</v>
      </c>
      <c r="D1234" s="1">
        <v>1</v>
      </c>
      <c r="E1234" t="s">
        <v>23</v>
      </c>
      <c r="F1234" t="s">
        <v>81</v>
      </c>
      <c r="G1234" t="s">
        <v>10</v>
      </c>
    </row>
    <row r="1235" spans="1:7" x14ac:dyDescent="0.25">
      <c r="A1235" t="s">
        <v>37</v>
      </c>
      <c r="B1235" s="2">
        <v>40</v>
      </c>
      <c r="C1235" s="2">
        <v>0</v>
      </c>
      <c r="D1235" s="1">
        <v>3</v>
      </c>
      <c r="E1235" t="s">
        <v>23</v>
      </c>
      <c r="F1235" t="s">
        <v>26</v>
      </c>
      <c r="G1235" t="s">
        <v>19</v>
      </c>
    </row>
    <row r="1236" spans="1:7" x14ac:dyDescent="0.25">
      <c r="A1236" t="s">
        <v>262</v>
      </c>
      <c r="B1236" s="2">
        <v>534</v>
      </c>
      <c r="C1236" s="2">
        <v>5</v>
      </c>
      <c r="D1236" s="1">
        <v>2</v>
      </c>
      <c r="E1236" t="s">
        <v>8</v>
      </c>
      <c r="F1236" t="s">
        <v>9</v>
      </c>
      <c r="G1236" t="s">
        <v>82</v>
      </c>
    </row>
    <row r="1237" spans="1:7" x14ac:dyDescent="0.25">
      <c r="A1237" t="s">
        <v>141</v>
      </c>
      <c r="B1237" s="2">
        <v>539</v>
      </c>
      <c r="C1237" s="2">
        <v>-146</v>
      </c>
      <c r="D1237" s="1">
        <v>7</v>
      </c>
      <c r="E1237" t="s">
        <v>12</v>
      </c>
      <c r="F1237" t="s">
        <v>131</v>
      </c>
      <c r="G1237" t="s">
        <v>82</v>
      </c>
    </row>
    <row r="1238" spans="1:7" x14ac:dyDescent="0.25">
      <c r="A1238" t="s">
        <v>497</v>
      </c>
      <c r="B1238" s="2">
        <v>490</v>
      </c>
      <c r="C1238" s="2">
        <v>-128</v>
      </c>
      <c r="D1238" s="1">
        <v>8</v>
      </c>
      <c r="E1238" t="s">
        <v>12</v>
      </c>
      <c r="F1238" t="s">
        <v>16</v>
      </c>
      <c r="G1238" t="s">
        <v>28</v>
      </c>
    </row>
    <row r="1239" spans="1:7" x14ac:dyDescent="0.25">
      <c r="A1239" t="s">
        <v>55</v>
      </c>
      <c r="B1239" s="2">
        <v>163</v>
      </c>
      <c r="C1239" s="2">
        <v>81</v>
      </c>
      <c r="D1239" s="1">
        <v>2</v>
      </c>
      <c r="E1239" t="s">
        <v>8</v>
      </c>
      <c r="F1239" t="s">
        <v>73</v>
      </c>
      <c r="G1239" t="s">
        <v>10</v>
      </c>
    </row>
    <row r="1240" spans="1:7" x14ac:dyDescent="0.25">
      <c r="A1240" t="s">
        <v>88</v>
      </c>
      <c r="B1240" s="2">
        <v>184</v>
      </c>
      <c r="C1240" s="2">
        <v>85</v>
      </c>
      <c r="D1240" s="1">
        <v>6</v>
      </c>
      <c r="E1240" t="s">
        <v>23</v>
      </c>
      <c r="F1240" t="s">
        <v>81</v>
      </c>
      <c r="G1240" t="s">
        <v>28</v>
      </c>
    </row>
    <row r="1241" spans="1:7" x14ac:dyDescent="0.25">
      <c r="A1241" t="s">
        <v>440</v>
      </c>
      <c r="B1241" s="2">
        <v>494</v>
      </c>
      <c r="C1241" s="2">
        <v>54</v>
      </c>
      <c r="D1241" s="1">
        <v>4</v>
      </c>
      <c r="E1241" t="s">
        <v>12</v>
      </c>
      <c r="F1241" t="s">
        <v>16</v>
      </c>
      <c r="G1241" t="s">
        <v>10</v>
      </c>
    </row>
    <row r="1242" spans="1:7" x14ac:dyDescent="0.25">
      <c r="A1242" t="s">
        <v>498</v>
      </c>
      <c r="B1242" s="2">
        <v>30</v>
      </c>
      <c r="C1242" s="2">
        <v>11</v>
      </c>
      <c r="D1242" s="1">
        <v>5</v>
      </c>
      <c r="E1242" t="s">
        <v>23</v>
      </c>
      <c r="F1242" t="s">
        <v>30</v>
      </c>
      <c r="G1242" t="s">
        <v>10</v>
      </c>
    </row>
    <row r="1243" spans="1:7" x14ac:dyDescent="0.25">
      <c r="A1243" t="s">
        <v>420</v>
      </c>
      <c r="B1243" s="2">
        <v>30</v>
      </c>
      <c r="C1243" s="2">
        <v>0</v>
      </c>
      <c r="D1243" s="1">
        <v>1</v>
      </c>
      <c r="E1243" t="s">
        <v>23</v>
      </c>
      <c r="F1243" t="s">
        <v>32</v>
      </c>
      <c r="G1243" t="s">
        <v>10</v>
      </c>
    </row>
    <row r="1244" spans="1:7" x14ac:dyDescent="0.25">
      <c r="A1244" t="s">
        <v>61</v>
      </c>
      <c r="B1244" s="2">
        <v>39</v>
      </c>
      <c r="C1244" s="2">
        <v>-18</v>
      </c>
      <c r="D1244" s="1">
        <v>2</v>
      </c>
      <c r="E1244" t="s">
        <v>23</v>
      </c>
      <c r="F1244" t="s">
        <v>63</v>
      </c>
      <c r="G1244" t="s">
        <v>19</v>
      </c>
    </row>
    <row r="1245" spans="1:7" x14ac:dyDescent="0.25">
      <c r="A1245" t="s">
        <v>306</v>
      </c>
      <c r="B1245" s="2">
        <v>1700</v>
      </c>
      <c r="C1245" s="2">
        <v>85</v>
      </c>
      <c r="D1245" s="1">
        <v>3</v>
      </c>
      <c r="E1245" t="s">
        <v>23</v>
      </c>
      <c r="F1245" t="s">
        <v>24</v>
      </c>
      <c r="G1245" t="s">
        <v>10</v>
      </c>
    </row>
    <row r="1246" spans="1:7" x14ac:dyDescent="0.25">
      <c r="A1246" t="s">
        <v>143</v>
      </c>
      <c r="B1246" s="2">
        <v>332</v>
      </c>
      <c r="C1246" s="2">
        <v>-43</v>
      </c>
      <c r="D1246" s="1">
        <v>6</v>
      </c>
      <c r="E1246" t="s">
        <v>8</v>
      </c>
      <c r="F1246" t="s">
        <v>21</v>
      </c>
      <c r="G1246" t="s">
        <v>28</v>
      </c>
    </row>
    <row r="1247" spans="1:7" x14ac:dyDescent="0.25">
      <c r="A1247" t="s">
        <v>234</v>
      </c>
      <c r="B1247" s="2">
        <v>436</v>
      </c>
      <c r="C1247" s="2">
        <v>131</v>
      </c>
      <c r="D1247" s="1">
        <v>9</v>
      </c>
      <c r="E1247" t="s">
        <v>23</v>
      </c>
      <c r="F1247" t="s">
        <v>30</v>
      </c>
      <c r="G1247" t="s">
        <v>28</v>
      </c>
    </row>
    <row r="1248" spans="1:7" x14ac:dyDescent="0.25">
      <c r="A1248" t="s">
        <v>265</v>
      </c>
      <c r="B1248" s="2">
        <v>30</v>
      </c>
      <c r="C1248" s="2">
        <v>-5</v>
      </c>
      <c r="D1248" s="1">
        <v>2</v>
      </c>
      <c r="E1248" t="s">
        <v>12</v>
      </c>
      <c r="F1248" t="s">
        <v>131</v>
      </c>
      <c r="G1248" t="s">
        <v>10</v>
      </c>
    </row>
    <row r="1249" spans="1:7" x14ac:dyDescent="0.25">
      <c r="A1249" t="s">
        <v>266</v>
      </c>
      <c r="B1249" s="2">
        <v>30</v>
      </c>
      <c r="C1249" s="2">
        <v>-10</v>
      </c>
      <c r="D1249" s="1">
        <v>2</v>
      </c>
      <c r="E1249" t="s">
        <v>23</v>
      </c>
      <c r="F1249" t="s">
        <v>57</v>
      </c>
      <c r="G1249" t="s">
        <v>10</v>
      </c>
    </row>
    <row r="1250" spans="1:7" x14ac:dyDescent="0.25">
      <c r="A1250" t="s">
        <v>208</v>
      </c>
      <c r="B1250" s="2">
        <v>38</v>
      </c>
      <c r="C1250" s="2">
        <v>-13</v>
      </c>
      <c r="D1250" s="1">
        <v>3</v>
      </c>
      <c r="E1250" t="s">
        <v>23</v>
      </c>
      <c r="F1250" t="s">
        <v>57</v>
      </c>
      <c r="G1250" t="s">
        <v>19</v>
      </c>
    </row>
    <row r="1251" spans="1:7" x14ac:dyDescent="0.25">
      <c r="A1251" t="s">
        <v>172</v>
      </c>
      <c r="B1251" s="2">
        <v>511</v>
      </c>
      <c r="C1251" s="2">
        <v>194</v>
      </c>
      <c r="D1251" s="1">
        <v>3</v>
      </c>
      <c r="E1251" t="s">
        <v>12</v>
      </c>
      <c r="F1251" t="s">
        <v>13</v>
      </c>
      <c r="G1251" t="s">
        <v>28</v>
      </c>
    </row>
    <row r="1252" spans="1:7" x14ac:dyDescent="0.25">
      <c r="A1252" t="s">
        <v>67</v>
      </c>
      <c r="B1252" s="2">
        <v>37</v>
      </c>
      <c r="C1252" s="2">
        <v>-53</v>
      </c>
      <c r="D1252" s="1">
        <v>3</v>
      </c>
      <c r="E1252" t="s">
        <v>23</v>
      </c>
      <c r="F1252" t="s">
        <v>26</v>
      </c>
      <c r="G1252" t="s">
        <v>19</v>
      </c>
    </row>
    <row r="1253" spans="1:7" x14ac:dyDescent="0.25">
      <c r="A1253" t="s">
        <v>111</v>
      </c>
      <c r="B1253" s="2">
        <v>513</v>
      </c>
      <c r="C1253" s="2">
        <v>215</v>
      </c>
      <c r="D1253" s="1">
        <v>2</v>
      </c>
      <c r="E1253" t="s">
        <v>8</v>
      </c>
      <c r="F1253" t="s">
        <v>73</v>
      </c>
      <c r="G1253" t="s">
        <v>10</v>
      </c>
    </row>
    <row r="1254" spans="1:7" x14ac:dyDescent="0.25">
      <c r="A1254" t="s">
        <v>100</v>
      </c>
      <c r="B1254" s="2">
        <v>516</v>
      </c>
      <c r="C1254" s="2">
        <v>69</v>
      </c>
      <c r="D1254" s="1">
        <v>4</v>
      </c>
      <c r="E1254" t="s">
        <v>12</v>
      </c>
      <c r="F1254" t="s">
        <v>16</v>
      </c>
      <c r="G1254" t="s">
        <v>28</v>
      </c>
    </row>
    <row r="1255" spans="1:7" x14ac:dyDescent="0.25">
      <c r="A1255" t="s">
        <v>163</v>
      </c>
      <c r="B1255" s="2">
        <v>559</v>
      </c>
      <c r="C1255" s="2">
        <v>-19</v>
      </c>
      <c r="D1255" s="1">
        <v>2</v>
      </c>
      <c r="E1255" t="s">
        <v>23</v>
      </c>
      <c r="F1255" t="s">
        <v>24</v>
      </c>
      <c r="G1255" t="s">
        <v>82</v>
      </c>
    </row>
    <row r="1256" spans="1:7" x14ac:dyDescent="0.25">
      <c r="A1256" t="s">
        <v>499</v>
      </c>
      <c r="B1256" s="2">
        <v>29</v>
      </c>
      <c r="C1256" s="2">
        <v>-10</v>
      </c>
      <c r="D1256" s="1">
        <v>3</v>
      </c>
      <c r="E1256" t="s">
        <v>23</v>
      </c>
      <c r="F1256" t="s">
        <v>43</v>
      </c>
      <c r="G1256" t="s">
        <v>10</v>
      </c>
    </row>
    <row r="1257" spans="1:7" x14ac:dyDescent="0.25">
      <c r="A1257" t="s">
        <v>400</v>
      </c>
      <c r="B1257" s="2">
        <v>148</v>
      </c>
      <c r="C1257" s="2">
        <v>52</v>
      </c>
      <c r="D1257" s="1">
        <v>5</v>
      </c>
      <c r="E1257" t="s">
        <v>23</v>
      </c>
      <c r="F1257" t="s">
        <v>57</v>
      </c>
      <c r="G1257" t="s">
        <v>28</v>
      </c>
    </row>
    <row r="1258" spans="1:7" x14ac:dyDescent="0.25">
      <c r="A1258" t="s">
        <v>273</v>
      </c>
      <c r="B1258" s="2">
        <v>559</v>
      </c>
      <c r="C1258" s="2">
        <v>-174</v>
      </c>
      <c r="D1258" s="1">
        <v>2</v>
      </c>
      <c r="E1258" t="s">
        <v>8</v>
      </c>
      <c r="F1258" t="s">
        <v>9</v>
      </c>
      <c r="G1258" t="s">
        <v>82</v>
      </c>
    </row>
    <row r="1259" spans="1:7" x14ac:dyDescent="0.25">
      <c r="A1259" t="s">
        <v>299</v>
      </c>
      <c r="B1259" s="2">
        <v>527</v>
      </c>
      <c r="C1259" s="2">
        <v>26</v>
      </c>
      <c r="D1259" s="1">
        <v>3</v>
      </c>
      <c r="E1259" t="s">
        <v>8</v>
      </c>
      <c r="F1259" t="s">
        <v>9</v>
      </c>
      <c r="G1259" t="s">
        <v>10</v>
      </c>
    </row>
    <row r="1260" spans="1:7" x14ac:dyDescent="0.25">
      <c r="A1260" t="s">
        <v>300</v>
      </c>
      <c r="B1260" s="2">
        <v>560</v>
      </c>
      <c r="C1260" s="2">
        <v>44</v>
      </c>
      <c r="D1260" s="1">
        <v>3</v>
      </c>
      <c r="E1260" t="s">
        <v>23</v>
      </c>
      <c r="F1260" t="s">
        <v>26</v>
      </c>
      <c r="G1260" t="s">
        <v>82</v>
      </c>
    </row>
    <row r="1261" spans="1:7" x14ac:dyDescent="0.25">
      <c r="A1261" t="s">
        <v>225</v>
      </c>
      <c r="B1261" s="2">
        <v>571</v>
      </c>
      <c r="C1261" s="2">
        <v>108</v>
      </c>
      <c r="D1261" s="1">
        <v>12</v>
      </c>
      <c r="E1261" t="s">
        <v>23</v>
      </c>
      <c r="F1261" t="s">
        <v>57</v>
      </c>
      <c r="G1261" t="s">
        <v>82</v>
      </c>
    </row>
    <row r="1262" spans="1:7" x14ac:dyDescent="0.25">
      <c r="A1262" t="s">
        <v>500</v>
      </c>
      <c r="B1262" s="2">
        <v>29</v>
      </c>
      <c r="C1262" s="2">
        <v>2</v>
      </c>
      <c r="D1262" s="1">
        <v>3</v>
      </c>
      <c r="E1262" t="s">
        <v>23</v>
      </c>
      <c r="F1262" t="s">
        <v>43</v>
      </c>
      <c r="G1262" t="s">
        <v>10</v>
      </c>
    </row>
    <row r="1263" spans="1:7" x14ac:dyDescent="0.25">
      <c r="A1263" t="s">
        <v>299</v>
      </c>
      <c r="B1263" s="2">
        <v>29</v>
      </c>
      <c r="C1263" s="2">
        <v>3</v>
      </c>
      <c r="D1263" s="1">
        <v>2</v>
      </c>
      <c r="E1263" t="s">
        <v>23</v>
      </c>
      <c r="F1263" t="s">
        <v>57</v>
      </c>
      <c r="G1263" t="s">
        <v>10</v>
      </c>
    </row>
    <row r="1264" spans="1:7" x14ac:dyDescent="0.25">
      <c r="A1264" t="s">
        <v>284</v>
      </c>
      <c r="B1264" s="2">
        <v>29</v>
      </c>
      <c r="C1264" s="2">
        <v>-3</v>
      </c>
      <c r="D1264" s="1">
        <v>3</v>
      </c>
      <c r="E1264" t="s">
        <v>23</v>
      </c>
      <c r="F1264" t="s">
        <v>26</v>
      </c>
      <c r="G1264" t="s">
        <v>10</v>
      </c>
    </row>
    <row r="1265" spans="1:7" x14ac:dyDescent="0.25">
      <c r="A1265" t="s">
        <v>501</v>
      </c>
      <c r="B1265" s="2">
        <v>35</v>
      </c>
      <c r="C1265" s="2">
        <v>14</v>
      </c>
      <c r="D1265" s="1">
        <v>2</v>
      </c>
      <c r="E1265" t="s">
        <v>23</v>
      </c>
      <c r="F1265" t="s">
        <v>57</v>
      </c>
      <c r="G1265" t="s">
        <v>19</v>
      </c>
    </row>
    <row r="1266" spans="1:7" x14ac:dyDescent="0.25">
      <c r="A1266" t="s">
        <v>41</v>
      </c>
      <c r="B1266" s="2">
        <v>579</v>
      </c>
      <c r="C1266" s="2">
        <v>139</v>
      </c>
      <c r="D1266" s="1">
        <v>3</v>
      </c>
      <c r="E1266" t="s">
        <v>8</v>
      </c>
      <c r="F1266" t="s">
        <v>18</v>
      </c>
      <c r="G1266" t="s">
        <v>82</v>
      </c>
    </row>
    <row r="1267" spans="1:7" x14ac:dyDescent="0.25">
      <c r="A1267" t="s">
        <v>36</v>
      </c>
      <c r="B1267" s="2">
        <v>29</v>
      </c>
      <c r="C1267" s="2">
        <v>-24</v>
      </c>
      <c r="D1267" s="1">
        <v>4</v>
      </c>
      <c r="E1267" t="s">
        <v>23</v>
      </c>
      <c r="F1267" t="s">
        <v>63</v>
      </c>
      <c r="G1267" t="s">
        <v>10</v>
      </c>
    </row>
    <row r="1268" spans="1:7" x14ac:dyDescent="0.25">
      <c r="A1268" t="s">
        <v>67</v>
      </c>
      <c r="B1268" s="2">
        <v>593</v>
      </c>
      <c r="C1268" s="2">
        <v>213</v>
      </c>
      <c r="D1268" s="1">
        <v>4</v>
      </c>
      <c r="E1268" t="s">
        <v>12</v>
      </c>
      <c r="F1268" t="s">
        <v>16</v>
      </c>
      <c r="G1268" t="s">
        <v>82</v>
      </c>
    </row>
    <row r="1269" spans="1:7" x14ac:dyDescent="0.25">
      <c r="A1269" t="s">
        <v>173</v>
      </c>
      <c r="B1269" s="2">
        <v>217</v>
      </c>
      <c r="C1269" s="2">
        <v>72</v>
      </c>
      <c r="D1269" s="1">
        <v>2</v>
      </c>
      <c r="E1269" t="s">
        <v>12</v>
      </c>
      <c r="F1269" t="s">
        <v>131</v>
      </c>
      <c r="G1269" t="s">
        <v>10</v>
      </c>
    </row>
    <row r="1270" spans="1:7" x14ac:dyDescent="0.25">
      <c r="A1270" t="s">
        <v>502</v>
      </c>
      <c r="B1270" s="2">
        <v>353</v>
      </c>
      <c r="C1270" s="2">
        <v>90</v>
      </c>
      <c r="D1270" s="1">
        <v>8</v>
      </c>
      <c r="E1270" t="s">
        <v>23</v>
      </c>
      <c r="F1270" t="s">
        <v>26</v>
      </c>
      <c r="G1270" t="s">
        <v>10</v>
      </c>
    </row>
    <row r="1271" spans="1:7" x14ac:dyDescent="0.25">
      <c r="A1271" t="s">
        <v>230</v>
      </c>
      <c r="B1271" s="2">
        <v>382</v>
      </c>
      <c r="C1271" s="2">
        <v>92</v>
      </c>
      <c r="D1271" s="1">
        <v>2</v>
      </c>
      <c r="E1271" t="s">
        <v>8</v>
      </c>
      <c r="F1271" t="s">
        <v>18</v>
      </c>
      <c r="G1271" t="s">
        <v>10</v>
      </c>
    </row>
    <row r="1272" spans="1:7" x14ac:dyDescent="0.25">
      <c r="A1272" t="s">
        <v>192</v>
      </c>
      <c r="B1272" s="2">
        <v>597</v>
      </c>
      <c r="C1272" s="2">
        <v>93</v>
      </c>
      <c r="D1272" s="1">
        <v>4</v>
      </c>
      <c r="E1272" t="s">
        <v>12</v>
      </c>
      <c r="F1272" t="s">
        <v>13</v>
      </c>
      <c r="G1272" t="s">
        <v>82</v>
      </c>
    </row>
    <row r="1273" spans="1:7" x14ac:dyDescent="0.25">
      <c r="A1273" t="s">
        <v>503</v>
      </c>
      <c r="B1273" s="2">
        <v>212</v>
      </c>
      <c r="C1273" s="2">
        <v>97</v>
      </c>
      <c r="D1273" s="1">
        <v>7</v>
      </c>
      <c r="E1273" t="s">
        <v>23</v>
      </c>
      <c r="F1273" t="s">
        <v>30</v>
      </c>
      <c r="G1273" t="s">
        <v>10</v>
      </c>
    </row>
    <row r="1274" spans="1:7" x14ac:dyDescent="0.25">
      <c r="A1274" t="s">
        <v>269</v>
      </c>
      <c r="B1274" s="2">
        <v>689</v>
      </c>
      <c r="C1274" s="2">
        <v>90</v>
      </c>
      <c r="D1274" s="1">
        <v>5</v>
      </c>
      <c r="E1274" t="s">
        <v>23</v>
      </c>
      <c r="F1274" t="s">
        <v>26</v>
      </c>
      <c r="G1274" t="s">
        <v>10</v>
      </c>
    </row>
    <row r="1275" spans="1:7" x14ac:dyDescent="0.25">
      <c r="A1275" t="s">
        <v>504</v>
      </c>
      <c r="B1275" s="2">
        <v>28</v>
      </c>
      <c r="C1275" s="2">
        <v>-10</v>
      </c>
      <c r="D1275" s="1">
        <v>3</v>
      </c>
      <c r="E1275" t="s">
        <v>23</v>
      </c>
      <c r="F1275" t="s">
        <v>43</v>
      </c>
      <c r="G1275" t="s">
        <v>10</v>
      </c>
    </row>
    <row r="1276" spans="1:7" x14ac:dyDescent="0.25">
      <c r="A1276" t="s">
        <v>205</v>
      </c>
      <c r="B1276" s="2">
        <v>34</v>
      </c>
      <c r="C1276" s="2">
        <v>12</v>
      </c>
      <c r="D1276" s="1">
        <v>3</v>
      </c>
      <c r="E1276" t="s">
        <v>23</v>
      </c>
      <c r="F1276" t="s">
        <v>30</v>
      </c>
      <c r="G1276" t="s">
        <v>19</v>
      </c>
    </row>
    <row r="1277" spans="1:7" x14ac:dyDescent="0.25">
      <c r="A1277" t="s">
        <v>88</v>
      </c>
      <c r="B1277" s="2">
        <v>600</v>
      </c>
      <c r="C1277" s="2">
        <v>-102</v>
      </c>
      <c r="D1277" s="1">
        <v>5</v>
      </c>
      <c r="E1277" t="s">
        <v>8</v>
      </c>
      <c r="F1277" t="s">
        <v>9</v>
      </c>
      <c r="G1277" t="s">
        <v>82</v>
      </c>
    </row>
    <row r="1278" spans="1:7" x14ac:dyDescent="0.25">
      <c r="A1278" t="s">
        <v>505</v>
      </c>
      <c r="B1278" s="2">
        <v>637</v>
      </c>
      <c r="C1278" s="2">
        <v>113</v>
      </c>
      <c r="D1278" s="1">
        <v>5</v>
      </c>
      <c r="E1278" t="s">
        <v>23</v>
      </c>
      <c r="F1278" t="s">
        <v>26</v>
      </c>
      <c r="G1278" t="s">
        <v>28</v>
      </c>
    </row>
    <row r="1279" spans="1:7" x14ac:dyDescent="0.25">
      <c r="A1279" t="s">
        <v>62</v>
      </c>
      <c r="B1279" s="2">
        <v>616</v>
      </c>
      <c r="C1279" s="2">
        <v>-69</v>
      </c>
      <c r="D1279" s="1">
        <v>7</v>
      </c>
      <c r="E1279" t="s">
        <v>12</v>
      </c>
      <c r="F1279" t="s">
        <v>131</v>
      </c>
      <c r="G1279" t="s">
        <v>82</v>
      </c>
    </row>
    <row r="1280" spans="1:7" x14ac:dyDescent="0.25">
      <c r="A1280" t="s">
        <v>123</v>
      </c>
      <c r="B1280" s="2">
        <v>624</v>
      </c>
      <c r="C1280" s="2">
        <v>37</v>
      </c>
      <c r="D1280" s="1">
        <v>2</v>
      </c>
      <c r="E1280" t="s">
        <v>8</v>
      </c>
      <c r="F1280" t="s">
        <v>9</v>
      </c>
      <c r="G1280" t="s">
        <v>82</v>
      </c>
    </row>
    <row r="1281" spans="1:7" x14ac:dyDescent="0.25">
      <c r="A1281" t="s">
        <v>385</v>
      </c>
      <c r="B1281" s="2">
        <v>28</v>
      </c>
      <c r="C1281" s="2">
        <v>4</v>
      </c>
      <c r="D1281" s="1">
        <v>1</v>
      </c>
      <c r="E1281" t="s">
        <v>23</v>
      </c>
      <c r="F1281" t="s">
        <v>81</v>
      </c>
      <c r="G1281" t="s">
        <v>10</v>
      </c>
    </row>
    <row r="1282" spans="1:7" x14ac:dyDescent="0.25">
      <c r="A1282" t="s">
        <v>276</v>
      </c>
      <c r="B1282" s="2">
        <v>584</v>
      </c>
      <c r="C1282" s="2">
        <v>-444</v>
      </c>
      <c r="D1282" s="1">
        <v>7</v>
      </c>
      <c r="E1282" t="s">
        <v>8</v>
      </c>
      <c r="F1282" t="s">
        <v>18</v>
      </c>
      <c r="G1282" t="s">
        <v>28</v>
      </c>
    </row>
    <row r="1283" spans="1:7" x14ac:dyDescent="0.25">
      <c r="A1283" t="s">
        <v>178</v>
      </c>
      <c r="B1283" s="2">
        <v>28</v>
      </c>
      <c r="C1283" s="2">
        <v>6</v>
      </c>
      <c r="D1283" s="1">
        <v>4</v>
      </c>
      <c r="E1283" t="s">
        <v>23</v>
      </c>
      <c r="F1283" t="s">
        <v>43</v>
      </c>
      <c r="G1283" t="s">
        <v>10</v>
      </c>
    </row>
    <row r="1284" spans="1:7" x14ac:dyDescent="0.25">
      <c r="A1284" t="s">
        <v>17</v>
      </c>
      <c r="B1284" s="2">
        <v>33</v>
      </c>
      <c r="C1284" s="2">
        <v>-1</v>
      </c>
      <c r="D1284" s="1">
        <v>1</v>
      </c>
      <c r="E1284" t="s">
        <v>23</v>
      </c>
      <c r="F1284" t="s">
        <v>26</v>
      </c>
      <c r="G1284" t="s">
        <v>19</v>
      </c>
    </row>
    <row r="1285" spans="1:7" x14ac:dyDescent="0.25">
      <c r="A1285" t="s">
        <v>288</v>
      </c>
      <c r="B1285" s="2">
        <v>27</v>
      </c>
      <c r="C1285" s="2">
        <v>-20</v>
      </c>
      <c r="D1285" s="1">
        <v>2</v>
      </c>
      <c r="E1285" t="s">
        <v>23</v>
      </c>
      <c r="F1285" t="s">
        <v>30</v>
      </c>
      <c r="G1285" t="s">
        <v>10</v>
      </c>
    </row>
    <row r="1286" spans="1:7" x14ac:dyDescent="0.25">
      <c r="A1286" t="s">
        <v>187</v>
      </c>
      <c r="B1286" s="2">
        <v>27</v>
      </c>
      <c r="C1286" s="2">
        <v>5</v>
      </c>
      <c r="D1286" s="1">
        <v>2</v>
      </c>
      <c r="E1286" t="s">
        <v>23</v>
      </c>
      <c r="F1286" t="s">
        <v>43</v>
      </c>
      <c r="G1286" t="s">
        <v>10</v>
      </c>
    </row>
    <row r="1287" spans="1:7" x14ac:dyDescent="0.25">
      <c r="A1287" t="s">
        <v>91</v>
      </c>
      <c r="B1287" s="2">
        <v>27</v>
      </c>
      <c r="C1287" s="2">
        <v>4</v>
      </c>
      <c r="D1287" s="1">
        <v>3</v>
      </c>
      <c r="E1287" t="s">
        <v>23</v>
      </c>
      <c r="F1287" t="s">
        <v>43</v>
      </c>
      <c r="G1287" t="s">
        <v>10</v>
      </c>
    </row>
    <row r="1288" spans="1:7" x14ac:dyDescent="0.25">
      <c r="A1288" t="s">
        <v>298</v>
      </c>
      <c r="B1288" s="2">
        <v>635</v>
      </c>
      <c r="C1288" s="2">
        <v>-349</v>
      </c>
      <c r="D1288" s="1">
        <v>5</v>
      </c>
      <c r="E1288" t="s">
        <v>23</v>
      </c>
      <c r="F1288" t="s">
        <v>26</v>
      </c>
      <c r="G1288" t="s">
        <v>82</v>
      </c>
    </row>
    <row r="1289" spans="1:7" x14ac:dyDescent="0.25">
      <c r="A1289" t="s">
        <v>291</v>
      </c>
      <c r="B1289" s="2">
        <v>598</v>
      </c>
      <c r="C1289" s="2">
        <v>166</v>
      </c>
      <c r="D1289" s="1">
        <v>4</v>
      </c>
      <c r="E1289" t="s">
        <v>12</v>
      </c>
      <c r="F1289" t="s">
        <v>16</v>
      </c>
      <c r="G1289" t="s">
        <v>28</v>
      </c>
    </row>
    <row r="1290" spans="1:7" x14ac:dyDescent="0.25">
      <c r="A1290" t="s">
        <v>385</v>
      </c>
      <c r="B1290" s="2">
        <v>636</v>
      </c>
      <c r="C1290" s="2">
        <v>-204</v>
      </c>
      <c r="D1290" s="1">
        <v>2</v>
      </c>
      <c r="E1290" t="s">
        <v>8</v>
      </c>
      <c r="F1290" t="s">
        <v>18</v>
      </c>
      <c r="G1290" t="s">
        <v>82</v>
      </c>
    </row>
    <row r="1291" spans="1:7" x14ac:dyDescent="0.25">
      <c r="A1291" t="s">
        <v>382</v>
      </c>
      <c r="B1291" s="2">
        <v>27</v>
      </c>
      <c r="C1291" s="2">
        <v>9</v>
      </c>
      <c r="D1291" s="1">
        <v>2</v>
      </c>
      <c r="E1291" t="s">
        <v>23</v>
      </c>
      <c r="F1291" t="s">
        <v>30</v>
      </c>
      <c r="G1291" t="s">
        <v>10</v>
      </c>
    </row>
    <row r="1292" spans="1:7" x14ac:dyDescent="0.25">
      <c r="A1292" t="s">
        <v>182</v>
      </c>
      <c r="B1292" s="2">
        <v>27</v>
      </c>
      <c r="C1292" s="2">
        <v>-6</v>
      </c>
      <c r="D1292" s="1">
        <v>4</v>
      </c>
      <c r="E1292" t="s">
        <v>23</v>
      </c>
      <c r="F1292" t="s">
        <v>30</v>
      </c>
      <c r="G1292" t="s">
        <v>10</v>
      </c>
    </row>
    <row r="1293" spans="1:7" x14ac:dyDescent="0.25">
      <c r="A1293" t="s">
        <v>157</v>
      </c>
      <c r="B1293" s="2">
        <v>637</v>
      </c>
      <c r="C1293" s="2">
        <v>212</v>
      </c>
      <c r="D1293" s="1">
        <v>8</v>
      </c>
      <c r="E1293" t="s">
        <v>8</v>
      </c>
      <c r="F1293" t="s">
        <v>21</v>
      </c>
      <c r="G1293" t="s">
        <v>82</v>
      </c>
    </row>
    <row r="1294" spans="1:7" x14ac:dyDescent="0.25">
      <c r="A1294" t="s">
        <v>253</v>
      </c>
      <c r="B1294" s="2">
        <v>290</v>
      </c>
      <c r="C1294" s="2">
        <v>110</v>
      </c>
      <c r="D1294" s="1">
        <v>9</v>
      </c>
      <c r="E1294" t="s">
        <v>23</v>
      </c>
      <c r="F1294" t="s">
        <v>57</v>
      </c>
      <c r="G1294" t="s">
        <v>28</v>
      </c>
    </row>
    <row r="1295" spans="1:7" x14ac:dyDescent="0.25">
      <c r="A1295" t="s">
        <v>506</v>
      </c>
      <c r="B1295" s="2">
        <v>27</v>
      </c>
      <c r="C1295" s="2">
        <v>-25</v>
      </c>
      <c r="D1295" s="1">
        <v>2</v>
      </c>
      <c r="E1295" t="s">
        <v>23</v>
      </c>
      <c r="F1295" t="s">
        <v>57</v>
      </c>
      <c r="G1295" t="s">
        <v>10</v>
      </c>
    </row>
    <row r="1296" spans="1:7" x14ac:dyDescent="0.25">
      <c r="A1296" t="s">
        <v>507</v>
      </c>
      <c r="B1296" s="2">
        <v>632</v>
      </c>
      <c r="C1296" s="2">
        <v>-114</v>
      </c>
      <c r="D1296" s="1">
        <v>4</v>
      </c>
      <c r="E1296" t="s">
        <v>12</v>
      </c>
      <c r="F1296" t="s">
        <v>45</v>
      </c>
      <c r="G1296" t="s">
        <v>28</v>
      </c>
    </row>
    <row r="1297" spans="1:7" x14ac:dyDescent="0.25">
      <c r="A1297" t="s">
        <v>36</v>
      </c>
      <c r="B1297" s="2">
        <v>643</v>
      </c>
      <c r="C1297" s="2">
        <v>-45</v>
      </c>
      <c r="D1297" s="1">
        <v>2</v>
      </c>
      <c r="E1297" t="s">
        <v>8</v>
      </c>
      <c r="F1297" t="s">
        <v>18</v>
      </c>
      <c r="G1297" t="s">
        <v>82</v>
      </c>
    </row>
    <row r="1298" spans="1:7" x14ac:dyDescent="0.25">
      <c r="A1298" t="s">
        <v>60</v>
      </c>
      <c r="B1298" s="2">
        <v>652</v>
      </c>
      <c r="C1298" s="2">
        <v>13</v>
      </c>
      <c r="D1298" s="1">
        <v>6</v>
      </c>
      <c r="E1298" t="s">
        <v>12</v>
      </c>
      <c r="F1298" t="s">
        <v>131</v>
      </c>
      <c r="G1298" t="s">
        <v>82</v>
      </c>
    </row>
    <row r="1299" spans="1:7" x14ac:dyDescent="0.25">
      <c r="A1299" t="s">
        <v>127</v>
      </c>
      <c r="B1299" s="2">
        <v>33</v>
      </c>
      <c r="C1299" s="2">
        <v>-27</v>
      </c>
      <c r="D1299" s="1">
        <v>1</v>
      </c>
      <c r="E1299" t="s">
        <v>12</v>
      </c>
      <c r="F1299" t="s">
        <v>13</v>
      </c>
      <c r="G1299" t="s">
        <v>19</v>
      </c>
    </row>
    <row r="1300" spans="1:7" x14ac:dyDescent="0.25">
      <c r="A1300" t="s">
        <v>388</v>
      </c>
      <c r="B1300" s="2">
        <v>26</v>
      </c>
      <c r="C1300" s="2">
        <v>2</v>
      </c>
      <c r="D1300" s="1">
        <v>2</v>
      </c>
      <c r="E1300" t="s">
        <v>23</v>
      </c>
      <c r="F1300" t="s">
        <v>30</v>
      </c>
      <c r="G1300" t="s">
        <v>10</v>
      </c>
    </row>
    <row r="1301" spans="1:7" x14ac:dyDescent="0.25">
      <c r="A1301" t="s">
        <v>371</v>
      </c>
      <c r="B1301" s="2">
        <v>633</v>
      </c>
      <c r="C1301" s="2">
        <v>-633</v>
      </c>
      <c r="D1301" s="1">
        <v>11</v>
      </c>
      <c r="E1301" t="s">
        <v>8</v>
      </c>
      <c r="F1301" t="s">
        <v>73</v>
      </c>
      <c r="G1301" t="s">
        <v>28</v>
      </c>
    </row>
    <row r="1302" spans="1:7" x14ac:dyDescent="0.25">
      <c r="A1302" t="s">
        <v>22</v>
      </c>
      <c r="B1302" s="2">
        <v>26</v>
      </c>
      <c r="C1302" s="2">
        <v>9</v>
      </c>
      <c r="D1302" s="1">
        <v>2</v>
      </c>
      <c r="E1302" t="s">
        <v>23</v>
      </c>
      <c r="F1302" t="s">
        <v>63</v>
      </c>
      <c r="G1302" t="s">
        <v>10</v>
      </c>
    </row>
    <row r="1303" spans="1:7" x14ac:dyDescent="0.25">
      <c r="A1303" t="s">
        <v>115</v>
      </c>
      <c r="B1303" s="2">
        <v>191</v>
      </c>
      <c r="C1303" s="2">
        <v>93</v>
      </c>
      <c r="D1303" s="1">
        <v>4</v>
      </c>
      <c r="E1303" t="s">
        <v>23</v>
      </c>
      <c r="F1303" t="s">
        <v>142</v>
      </c>
      <c r="G1303" t="s">
        <v>28</v>
      </c>
    </row>
    <row r="1304" spans="1:7" x14ac:dyDescent="0.25">
      <c r="A1304" t="s">
        <v>25</v>
      </c>
      <c r="B1304" s="2">
        <v>887</v>
      </c>
      <c r="C1304" s="2">
        <v>80</v>
      </c>
      <c r="D1304" s="1">
        <v>3</v>
      </c>
      <c r="E1304" t="s">
        <v>8</v>
      </c>
      <c r="F1304" t="s">
        <v>18</v>
      </c>
      <c r="G1304" t="s">
        <v>28</v>
      </c>
    </row>
    <row r="1305" spans="1:7" x14ac:dyDescent="0.25">
      <c r="A1305" t="s">
        <v>508</v>
      </c>
      <c r="B1305" s="2">
        <v>637</v>
      </c>
      <c r="C1305" s="2">
        <v>261</v>
      </c>
      <c r="D1305" s="1">
        <v>2</v>
      </c>
      <c r="E1305" t="s">
        <v>8</v>
      </c>
      <c r="F1305" t="s">
        <v>18</v>
      </c>
      <c r="G1305" t="s">
        <v>10</v>
      </c>
    </row>
    <row r="1306" spans="1:7" x14ac:dyDescent="0.25">
      <c r="A1306" t="s">
        <v>252</v>
      </c>
      <c r="B1306" s="2">
        <v>670</v>
      </c>
      <c r="C1306" s="2">
        <v>15</v>
      </c>
      <c r="D1306" s="1">
        <v>5</v>
      </c>
      <c r="E1306" t="s">
        <v>12</v>
      </c>
      <c r="F1306" t="s">
        <v>16</v>
      </c>
      <c r="G1306" t="s">
        <v>82</v>
      </c>
    </row>
    <row r="1307" spans="1:7" x14ac:dyDescent="0.25">
      <c r="A1307" t="s">
        <v>72</v>
      </c>
      <c r="B1307" s="2">
        <v>26</v>
      </c>
      <c r="C1307" s="2">
        <v>7</v>
      </c>
      <c r="D1307" s="1">
        <v>4</v>
      </c>
      <c r="E1307" t="s">
        <v>23</v>
      </c>
      <c r="F1307" t="s">
        <v>30</v>
      </c>
      <c r="G1307" t="s">
        <v>10</v>
      </c>
    </row>
    <row r="1308" spans="1:7" x14ac:dyDescent="0.25">
      <c r="A1308" t="s">
        <v>88</v>
      </c>
      <c r="B1308" s="2">
        <v>676</v>
      </c>
      <c r="C1308" s="2">
        <v>195</v>
      </c>
      <c r="D1308" s="1">
        <v>5</v>
      </c>
      <c r="E1308" t="s">
        <v>12</v>
      </c>
      <c r="F1308" t="s">
        <v>16</v>
      </c>
      <c r="G1308" t="s">
        <v>82</v>
      </c>
    </row>
    <row r="1309" spans="1:7" x14ac:dyDescent="0.25">
      <c r="A1309" t="s">
        <v>509</v>
      </c>
      <c r="B1309" s="2">
        <v>26</v>
      </c>
      <c r="C1309" s="2">
        <v>12</v>
      </c>
      <c r="D1309" s="1">
        <v>3</v>
      </c>
      <c r="E1309" t="s">
        <v>23</v>
      </c>
      <c r="F1309" t="s">
        <v>30</v>
      </c>
      <c r="G1309" t="s">
        <v>10</v>
      </c>
    </row>
    <row r="1310" spans="1:7" x14ac:dyDescent="0.25">
      <c r="A1310" t="s">
        <v>66</v>
      </c>
      <c r="B1310" s="2">
        <v>26</v>
      </c>
      <c r="C1310" s="2">
        <v>-24</v>
      </c>
      <c r="D1310" s="1">
        <v>1</v>
      </c>
      <c r="E1310" t="s">
        <v>23</v>
      </c>
      <c r="F1310" t="s">
        <v>57</v>
      </c>
      <c r="G1310" t="s">
        <v>10</v>
      </c>
    </row>
    <row r="1311" spans="1:7" x14ac:dyDescent="0.25">
      <c r="A1311" t="s">
        <v>122</v>
      </c>
      <c r="B1311" s="2">
        <v>25</v>
      </c>
      <c r="C1311" s="2">
        <v>7</v>
      </c>
      <c r="D1311" s="1">
        <v>2</v>
      </c>
      <c r="E1311" t="s">
        <v>23</v>
      </c>
      <c r="F1311" t="s">
        <v>57</v>
      </c>
      <c r="G1311" t="s">
        <v>10</v>
      </c>
    </row>
    <row r="1312" spans="1:7" x14ac:dyDescent="0.25">
      <c r="A1312" t="s">
        <v>149</v>
      </c>
      <c r="B1312" s="2">
        <v>24</v>
      </c>
      <c r="C1312" s="2">
        <v>-30</v>
      </c>
      <c r="D1312" s="1">
        <v>1</v>
      </c>
      <c r="E1312" t="s">
        <v>12</v>
      </c>
      <c r="F1312" t="s">
        <v>13</v>
      </c>
      <c r="G1312" t="s">
        <v>10</v>
      </c>
    </row>
    <row r="1313" spans="1:7" x14ac:dyDescent="0.25">
      <c r="A1313" t="s">
        <v>223</v>
      </c>
      <c r="B1313" s="2">
        <v>32</v>
      </c>
      <c r="C1313" s="2">
        <v>-12</v>
      </c>
      <c r="D1313" s="1">
        <v>1</v>
      </c>
      <c r="E1313" t="s">
        <v>12</v>
      </c>
      <c r="F1313" t="s">
        <v>13</v>
      </c>
      <c r="G1313" t="s">
        <v>19</v>
      </c>
    </row>
    <row r="1314" spans="1:7" x14ac:dyDescent="0.25">
      <c r="A1314" t="s">
        <v>135</v>
      </c>
      <c r="B1314" s="2">
        <v>31</v>
      </c>
      <c r="C1314" s="2">
        <v>-2</v>
      </c>
      <c r="D1314" s="1">
        <v>2</v>
      </c>
      <c r="E1314" t="s">
        <v>23</v>
      </c>
      <c r="F1314" t="s">
        <v>26</v>
      </c>
      <c r="G1314" t="s">
        <v>19</v>
      </c>
    </row>
    <row r="1315" spans="1:7" x14ac:dyDescent="0.25">
      <c r="A1315" t="s">
        <v>123</v>
      </c>
      <c r="B1315" s="2">
        <v>651</v>
      </c>
      <c r="C1315" s="2">
        <v>169</v>
      </c>
      <c r="D1315" s="1">
        <v>5</v>
      </c>
      <c r="E1315" t="s">
        <v>8</v>
      </c>
      <c r="F1315" t="s">
        <v>18</v>
      </c>
      <c r="G1315" t="s">
        <v>10</v>
      </c>
    </row>
    <row r="1316" spans="1:7" x14ac:dyDescent="0.25">
      <c r="A1316" t="s">
        <v>309</v>
      </c>
      <c r="B1316" s="2">
        <v>326</v>
      </c>
      <c r="C1316" s="2">
        <v>107</v>
      </c>
      <c r="D1316" s="1">
        <v>3</v>
      </c>
      <c r="E1316" t="s">
        <v>12</v>
      </c>
      <c r="F1316" t="s">
        <v>131</v>
      </c>
      <c r="G1316" t="s">
        <v>28</v>
      </c>
    </row>
    <row r="1317" spans="1:7" x14ac:dyDescent="0.25">
      <c r="A1317" t="s">
        <v>388</v>
      </c>
      <c r="B1317" s="2">
        <v>30</v>
      </c>
      <c r="C1317" s="2">
        <v>-6</v>
      </c>
      <c r="D1317" s="1">
        <v>2</v>
      </c>
      <c r="E1317" t="s">
        <v>23</v>
      </c>
      <c r="F1317" t="s">
        <v>30</v>
      </c>
      <c r="G1317" t="s">
        <v>28</v>
      </c>
    </row>
    <row r="1318" spans="1:7" x14ac:dyDescent="0.25">
      <c r="A1318" t="s">
        <v>179</v>
      </c>
      <c r="B1318" s="2">
        <v>30</v>
      </c>
      <c r="C1318" s="2">
        <v>5</v>
      </c>
      <c r="D1318" s="1">
        <v>2</v>
      </c>
      <c r="E1318" t="s">
        <v>23</v>
      </c>
      <c r="F1318" t="s">
        <v>32</v>
      </c>
      <c r="G1318" t="s">
        <v>28</v>
      </c>
    </row>
    <row r="1319" spans="1:7" x14ac:dyDescent="0.25">
      <c r="A1319" t="s">
        <v>510</v>
      </c>
      <c r="B1319" s="2">
        <v>662</v>
      </c>
      <c r="C1319" s="2">
        <v>240</v>
      </c>
      <c r="D1319" s="1">
        <v>2</v>
      </c>
      <c r="E1319" t="s">
        <v>12</v>
      </c>
      <c r="F1319" t="s">
        <v>16</v>
      </c>
      <c r="G1319" t="s">
        <v>10</v>
      </c>
    </row>
    <row r="1320" spans="1:7" x14ac:dyDescent="0.25">
      <c r="A1320" t="s">
        <v>54</v>
      </c>
      <c r="B1320" s="2">
        <v>30</v>
      </c>
      <c r="C1320" s="2">
        <v>-23</v>
      </c>
      <c r="D1320" s="1">
        <v>2</v>
      </c>
      <c r="E1320" t="s">
        <v>23</v>
      </c>
      <c r="F1320" t="s">
        <v>26</v>
      </c>
      <c r="G1320" t="s">
        <v>28</v>
      </c>
    </row>
    <row r="1321" spans="1:7" x14ac:dyDescent="0.25">
      <c r="A1321" t="s">
        <v>253</v>
      </c>
      <c r="B1321" s="2">
        <v>29</v>
      </c>
      <c r="C1321" s="2">
        <v>9</v>
      </c>
      <c r="D1321" s="1">
        <v>3</v>
      </c>
      <c r="E1321" t="s">
        <v>23</v>
      </c>
      <c r="F1321" t="s">
        <v>26</v>
      </c>
      <c r="G1321" t="s">
        <v>28</v>
      </c>
    </row>
    <row r="1322" spans="1:7" x14ac:dyDescent="0.25">
      <c r="A1322" t="s">
        <v>163</v>
      </c>
      <c r="B1322" s="2">
        <v>28</v>
      </c>
      <c r="C1322" s="2">
        <v>1</v>
      </c>
      <c r="D1322" s="1">
        <v>1</v>
      </c>
      <c r="E1322" t="s">
        <v>8</v>
      </c>
      <c r="F1322" t="s">
        <v>73</v>
      </c>
      <c r="G1322" t="s">
        <v>28</v>
      </c>
    </row>
    <row r="1323" spans="1:7" x14ac:dyDescent="0.25">
      <c r="A1323" t="s">
        <v>117</v>
      </c>
      <c r="B1323" s="2">
        <v>28</v>
      </c>
      <c r="C1323" s="2">
        <v>-3</v>
      </c>
      <c r="D1323" s="1">
        <v>2</v>
      </c>
      <c r="E1323" t="s">
        <v>23</v>
      </c>
      <c r="F1323" t="s">
        <v>26</v>
      </c>
      <c r="G1323" t="s">
        <v>28</v>
      </c>
    </row>
    <row r="1324" spans="1:7" x14ac:dyDescent="0.25">
      <c r="A1324" t="s">
        <v>511</v>
      </c>
      <c r="B1324" s="2">
        <v>24</v>
      </c>
      <c r="C1324" s="2">
        <v>2</v>
      </c>
      <c r="D1324" s="1">
        <v>4</v>
      </c>
      <c r="E1324" t="s">
        <v>23</v>
      </c>
      <c r="F1324" t="s">
        <v>30</v>
      </c>
      <c r="G1324" t="s">
        <v>10</v>
      </c>
    </row>
    <row r="1325" spans="1:7" x14ac:dyDescent="0.25">
      <c r="A1325" t="s">
        <v>135</v>
      </c>
      <c r="B1325" s="2">
        <v>28</v>
      </c>
      <c r="C1325" s="2">
        <v>-26</v>
      </c>
      <c r="D1325" s="1">
        <v>2</v>
      </c>
      <c r="E1325" t="s">
        <v>23</v>
      </c>
      <c r="F1325" t="s">
        <v>57</v>
      </c>
      <c r="G1325" t="s">
        <v>28</v>
      </c>
    </row>
    <row r="1326" spans="1:7" x14ac:dyDescent="0.25">
      <c r="A1326" t="s">
        <v>275</v>
      </c>
      <c r="B1326" s="2">
        <v>27</v>
      </c>
      <c r="C1326" s="2">
        <v>5</v>
      </c>
      <c r="D1326" s="1">
        <v>1</v>
      </c>
      <c r="E1326" t="s">
        <v>23</v>
      </c>
      <c r="F1326" t="s">
        <v>57</v>
      </c>
      <c r="G1326" t="s">
        <v>28</v>
      </c>
    </row>
    <row r="1327" spans="1:7" x14ac:dyDescent="0.25">
      <c r="A1327" t="s">
        <v>512</v>
      </c>
      <c r="B1327" s="2">
        <v>27</v>
      </c>
      <c r="C1327" s="2">
        <v>-15</v>
      </c>
      <c r="D1327" s="1">
        <v>1</v>
      </c>
      <c r="E1327" t="s">
        <v>23</v>
      </c>
      <c r="F1327" t="s">
        <v>57</v>
      </c>
      <c r="G1327" t="s">
        <v>28</v>
      </c>
    </row>
    <row r="1328" spans="1:7" x14ac:dyDescent="0.25">
      <c r="A1328" t="s">
        <v>383</v>
      </c>
      <c r="B1328" s="2">
        <v>24</v>
      </c>
      <c r="C1328" s="2">
        <v>11</v>
      </c>
      <c r="D1328" s="1">
        <v>3</v>
      </c>
      <c r="E1328" t="s">
        <v>23</v>
      </c>
      <c r="F1328" t="s">
        <v>30</v>
      </c>
      <c r="G1328" t="s">
        <v>10</v>
      </c>
    </row>
    <row r="1329" spans="1:7" x14ac:dyDescent="0.25">
      <c r="A1329" t="s">
        <v>266</v>
      </c>
      <c r="B1329" s="2">
        <v>23</v>
      </c>
      <c r="C1329" s="2">
        <v>-6</v>
      </c>
      <c r="D1329" s="1">
        <v>4</v>
      </c>
      <c r="E1329" t="s">
        <v>23</v>
      </c>
      <c r="F1329" t="s">
        <v>30</v>
      </c>
      <c r="G1329" t="s">
        <v>10</v>
      </c>
    </row>
    <row r="1330" spans="1:7" x14ac:dyDescent="0.25">
      <c r="A1330" t="s">
        <v>99</v>
      </c>
      <c r="B1330" s="2">
        <v>322</v>
      </c>
      <c r="C1330" s="2">
        <v>193</v>
      </c>
      <c r="D1330" s="1">
        <v>5</v>
      </c>
      <c r="E1330" t="s">
        <v>8</v>
      </c>
      <c r="F1330" t="s">
        <v>18</v>
      </c>
      <c r="G1330" t="s">
        <v>10</v>
      </c>
    </row>
    <row r="1331" spans="1:7" x14ac:dyDescent="0.25">
      <c r="A1331" t="s">
        <v>202</v>
      </c>
      <c r="B1331" s="2">
        <v>688</v>
      </c>
      <c r="C1331" s="2">
        <v>-103</v>
      </c>
      <c r="D1331" s="1">
        <v>6</v>
      </c>
      <c r="E1331" t="s">
        <v>8</v>
      </c>
      <c r="F1331" t="s">
        <v>73</v>
      </c>
      <c r="G1331" t="s">
        <v>82</v>
      </c>
    </row>
    <row r="1332" spans="1:7" x14ac:dyDescent="0.25">
      <c r="A1332" t="s">
        <v>371</v>
      </c>
      <c r="B1332" s="2">
        <v>23</v>
      </c>
      <c r="C1332" s="2">
        <v>-3</v>
      </c>
      <c r="D1332" s="1">
        <v>1</v>
      </c>
      <c r="E1332" t="s">
        <v>23</v>
      </c>
      <c r="F1332" t="s">
        <v>142</v>
      </c>
      <c r="G1332" t="s">
        <v>10</v>
      </c>
    </row>
    <row r="1333" spans="1:7" x14ac:dyDescent="0.25">
      <c r="A1333" t="s">
        <v>209</v>
      </c>
      <c r="B1333" s="2">
        <v>26</v>
      </c>
      <c r="C1333" s="2">
        <v>3</v>
      </c>
      <c r="D1333" s="1">
        <v>3</v>
      </c>
      <c r="E1333" t="s">
        <v>23</v>
      </c>
      <c r="F1333" t="s">
        <v>43</v>
      </c>
      <c r="G1333" t="s">
        <v>28</v>
      </c>
    </row>
    <row r="1334" spans="1:7" x14ac:dyDescent="0.25">
      <c r="A1334" t="s">
        <v>262</v>
      </c>
      <c r="B1334" s="2">
        <v>68</v>
      </c>
      <c r="C1334" s="2">
        <v>-56</v>
      </c>
      <c r="D1334" s="1">
        <v>2</v>
      </c>
      <c r="E1334" t="s">
        <v>8</v>
      </c>
      <c r="F1334" t="s">
        <v>21</v>
      </c>
      <c r="G1334" t="s">
        <v>10</v>
      </c>
    </row>
    <row r="1335" spans="1:7" x14ac:dyDescent="0.25">
      <c r="A1335" t="s">
        <v>392</v>
      </c>
      <c r="B1335" s="2">
        <v>462</v>
      </c>
      <c r="C1335" s="2">
        <v>169</v>
      </c>
      <c r="D1335" s="1">
        <v>4</v>
      </c>
      <c r="E1335" t="s">
        <v>23</v>
      </c>
      <c r="F1335" t="s">
        <v>26</v>
      </c>
      <c r="G1335" t="s">
        <v>10</v>
      </c>
    </row>
    <row r="1336" spans="1:7" x14ac:dyDescent="0.25">
      <c r="A1336" t="s">
        <v>469</v>
      </c>
      <c r="B1336" s="2">
        <v>941</v>
      </c>
      <c r="C1336" s="2">
        <v>203</v>
      </c>
      <c r="D1336" s="1">
        <v>3</v>
      </c>
      <c r="E1336" t="s">
        <v>12</v>
      </c>
      <c r="F1336" t="s">
        <v>45</v>
      </c>
      <c r="G1336" t="s">
        <v>28</v>
      </c>
    </row>
    <row r="1337" spans="1:7" x14ac:dyDescent="0.25">
      <c r="A1337" t="s">
        <v>191</v>
      </c>
      <c r="B1337" s="2">
        <v>23</v>
      </c>
      <c r="C1337" s="2">
        <v>4</v>
      </c>
      <c r="D1337" s="1">
        <v>2</v>
      </c>
      <c r="E1337" t="s">
        <v>23</v>
      </c>
      <c r="F1337" t="s">
        <v>43</v>
      </c>
      <c r="G1337" t="s">
        <v>10</v>
      </c>
    </row>
    <row r="1338" spans="1:7" x14ac:dyDescent="0.25">
      <c r="A1338" t="s">
        <v>436</v>
      </c>
      <c r="B1338" s="2">
        <v>720</v>
      </c>
      <c r="C1338" s="2">
        <v>43</v>
      </c>
      <c r="D1338" s="1">
        <v>2</v>
      </c>
      <c r="E1338" t="s">
        <v>8</v>
      </c>
      <c r="F1338" t="s">
        <v>18</v>
      </c>
      <c r="G1338" t="s">
        <v>28</v>
      </c>
    </row>
    <row r="1339" spans="1:7" x14ac:dyDescent="0.25">
      <c r="A1339" t="s">
        <v>52</v>
      </c>
      <c r="B1339" s="2">
        <v>724</v>
      </c>
      <c r="C1339" s="2">
        <v>-447</v>
      </c>
      <c r="D1339" s="1">
        <v>4</v>
      </c>
      <c r="E1339" t="s">
        <v>8</v>
      </c>
      <c r="F1339" t="s">
        <v>9</v>
      </c>
      <c r="G1339" t="s">
        <v>28</v>
      </c>
    </row>
    <row r="1340" spans="1:7" x14ac:dyDescent="0.25">
      <c r="A1340" t="s">
        <v>513</v>
      </c>
      <c r="B1340" s="2">
        <v>724</v>
      </c>
      <c r="C1340" s="2">
        <v>253</v>
      </c>
      <c r="D1340" s="1">
        <v>2</v>
      </c>
      <c r="E1340" t="s">
        <v>12</v>
      </c>
      <c r="F1340" t="s">
        <v>16</v>
      </c>
      <c r="G1340" t="s">
        <v>28</v>
      </c>
    </row>
    <row r="1341" spans="1:7" x14ac:dyDescent="0.25">
      <c r="A1341" t="s">
        <v>79</v>
      </c>
      <c r="B1341" s="2">
        <v>26</v>
      </c>
      <c r="C1341" s="2">
        <v>10</v>
      </c>
      <c r="D1341" s="1">
        <v>4</v>
      </c>
      <c r="E1341" t="s">
        <v>23</v>
      </c>
      <c r="F1341" t="s">
        <v>30</v>
      </c>
      <c r="G1341" t="s">
        <v>28</v>
      </c>
    </row>
    <row r="1342" spans="1:7" x14ac:dyDescent="0.25">
      <c r="A1342" t="s">
        <v>107</v>
      </c>
      <c r="B1342" s="2">
        <v>22</v>
      </c>
      <c r="C1342" s="2">
        <v>-2</v>
      </c>
      <c r="D1342" s="1">
        <v>3</v>
      </c>
      <c r="E1342" t="s">
        <v>23</v>
      </c>
      <c r="F1342" t="s">
        <v>30</v>
      </c>
      <c r="G1342" t="s">
        <v>10</v>
      </c>
    </row>
    <row r="1343" spans="1:7" x14ac:dyDescent="0.25">
      <c r="A1343" t="s">
        <v>189</v>
      </c>
      <c r="B1343" s="2">
        <v>711</v>
      </c>
      <c r="C1343" s="2">
        <v>-8</v>
      </c>
      <c r="D1343" s="1">
        <v>4</v>
      </c>
      <c r="E1343" t="s">
        <v>23</v>
      </c>
      <c r="F1343" t="s">
        <v>26</v>
      </c>
      <c r="G1343" t="s">
        <v>82</v>
      </c>
    </row>
    <row r="1344" spans="1:7" x14ac:dyDescent="0.25">
      <c r="A1344" t="s">
        <v>288</v>
      </c>
      <c r="B1344" s="2">
        <v>107</v>
      </c>
      <c r="C1344" s="2">
        <v>31</v>
      </c>
      <c r="D1344" s="1">
        <v>5</v>
      </c>
      <c r="E1344" t="s">
        <v>23</v>
      </c>
      <c r="F1344" t="s">
        <v>81</v>
      </c>
      <c r="G1344" t="s">
        <v>10</v>
      </c>
    </row>
    <row r="1345" spans="1:7" x14ac:dyDescent="0.25">
      <c r="A1345" t="s">
        <v>341</v>
      </c>
      <c r="B1345" s="2">
        <v>765</v>
      </c>
      <c r="C1345" s="2">
        <v>-153</v>
      </c>
      <c r="D1345" s="1">
        <v>2</v>
      </c>
      <c r="E1345" t="s">
        <v>8</v>
      </c>
      <c r="F1345" t="s">
        <v>21</v>
      </c>
      <c r="G1345" t="s">
        <v>82</v>
      </c>
    </row>
    <row r="1346" spans="1:7" x14ac:dyDescent="0.25">
      <c r="A1346" t="s">
        <v>382</v>
      </c>
      <c r="B1346" s="2">
        <v>22</v>
      </c>
      <c r="C1346" s="2">
        <v>8</v>
      </c>
      <c r="D1346" s="1">
        <v>2</v>
      </c>
      <c r="E1346" t="s">
        <v>23</v>
      </c>
      <c r="F1346" t="s">
        <v>63</v>
      </c>
      <c r="G1346" t="s">
        <v>10</v>
      </c>
    </row>
    <row r="1347" spans="1:7" x14ac:dyDescent="0.25">
      <c r="A1347" t="s">
        <v>418</v>
      </c>
      <c r="B1347" s="2">
        <v>26</v>
      </c>
      <c r="C1347" s="2">
        <v>-5</v>
      </c>
      <c r="D1347" s="1">
        <v>2</v>
      </c>
      <c r="E1347" t="s">
        <v>23</v>
      </c>
      <c r="F1347" t="s">
        <v>57</v>
      </c>
      <c r="G1347" t="s">
        <v>28</v>
      </c>
    </row>
    <row r="1348" spans="1:7" x14ac:dyDescent="0.25">
      <c r="A1348" t="s">
        <v>187</v>
      </c>
      <c r="B1348" s="2">
        <v>22</v>
      </c>
      <c r="C1348" s="2">
        <v>8</v>
      </c>
      <c r="D1348" s="1">
        <v>3</v>
      </c>
      <c r="E1348" t="s">
        <v>23</v>
      </c>
      <c r="F1348" t="s">
        <v>30</v>
      </c>
      <c r="G1348" t="s">
        <v>10</v>
      </c>
    </row>
    <row r="1349" spans="1:7" x14ac:dyDescent="0.25">
      <c r="A1349" t="s">
        <v>514</v>
      </c>
      <c r="B1349" s="2">
        <v>743</v>
      </c>
      <c r="C1349" s="2">
        <v>89</v>
      </c>
      <c r="D1349" s="1">
        <v>5</v>
      </c>
      <c r="E1349" t="s">
        <v>8</v>
      </c>
      <c r="F1349" t="s">
        <v>18</v>
      </c>
      <c r="G1349" t="s">
        <v>28</v>
      </c>
    </row>
    <row r="1350" spans="1:7" x14ac:dyDescent="0.25">
      <c r="A1350" t="s">
        <v>33</v>
      </c>
      <c r="B1350" s="2">
        <v>22</v>
      </c>
      <c r="C1350" s="2">
        <v>-15</v>
      </c>
      <c r="D1350" s="1">
        <v>4</v>
      </c>
      <c r="E1350" t="s">
        <v>23</v>
      </c>
      <c r="F1350" t="s">
        <v>32</v>
      </c>
      <c r="G1350" t="s">
        <v>10</v>
      </c>
    </row>
    <row r="1351" spans="1:7" x14ac:dyDescent="0.25">
      <c r="A1351" t="s">
        <v>265</v>
      </c>
      <c r="B1351" s="2">
        <v>781</v>
      </c>
      <c r="C1351" s="2">
        <v>594</v>
      </c>
      <c r="D1351" s="1">
        <v>6</v>
      </c>
      <c r="E1351" t="s">
        <v>8</v>
      </c>
      <c r="F1351" t="s">
        <v>18</v>
      </c>
      <c r="G1351" t="s">
        <v>82</v>
      </c>
    </row>
    <row r="1352" spans="1:7" x14ac:dyDescent="0.25">
      <c r="A1352" t="s">
        <v>308</v>
      </c>
      <c r="B1352" s="2">
        <v>25</v>
      </c>
      <c r="C1352" s="2">
        <v>-2</v>
      </c>
      <c r="D1352" s="1">
        <v>5</v>
      </c>
      <c r="E1352" t="s">
        <v>23</v>
      </c>
      <c r="F1352" t="s">
        <v>30</v>
      </c>
      <c r="G1352" t="s">
        <v>28</v>
      </c>
    </row>
    <row r="1353" spans="1:7" x14ac:dyDescent="0.25">
      <c r="A1353" t="s">
        <v>237</v>
      </c>
      <c r="B1353" s="2">
        <v>25</v>
      </c>
      <c r="C1353" s="2">
        <v>2</v>
      </c>
      <c r="D1353" s="1">
        <v>2</v>
      </c>
      <c r="E1353" t="s">
        <v>23</v>
      </c>
      <c r="F1353" t="s">
        <v>30</v>
      </c>
      <c r="G1353" t="s">
        <v>28</v>
      </c>
    </row>
    <row r="1354" spans="1:7" x14ac:dyDescent="0.25">
      <c r="A1354" t="s">
        <v>341</v>
      </c>
      <c r="B1354" s="2">
        <v>119</v>
      </c>
      <c r="C1354" s="2">
        <v>43</v>
      </c>
      <c r="D1354" s="1">
        <v>5</v>
      </c>
      <c r="E1354" t="s">
        <v>23</v>
      </c>
      <c r="F1354" t="s">
        <v>81</v>
      </c>
      <c r="G1354" t="s">
        <v>10</v>
      </c>
    </row>
    <row r="1355" spans="1:7" x14ac:dyDescent="0.25">
      <c r="A1355" t="s">
        <v>246</v>
      </c>
      <c r="B1355" s="2">
        <v>785</v>
      </c>
      <c r="C1355" s="2">
        <v>52</v>
      </c>
      <c r="D1355" s="1">
        <v>2</v>
      </c>
      <c r="E1355" t="s">
        <v>8</v>
      </c>
      <c r="F1355" t="s">
        <v>21</v>
      </c>
      <c r="G1355" t="s">
        <v>82</v>
      </c>
    </row>
    <row r="1356" spans="1:7" x14ac:dyDescent="0.25">
      <c r="A1356" t="s">
        <v>258</v>
      </c>
      <c r="B1356" s="2">
        <v>183</v>
      </c>
      <c r="C1356" s="2">
        <v>-66</v>
      </c>
      <c r="D1356" s="1">
        <v>5</v>
      </c>
      <c r="E1356" t="s">
        <v>8</v>
      </c>
      <c r="F1356" t="s">
        <v>21</v>
      </c>
      <c r="G1356" t="s">
        <v>28</v>
      </c>
    </row>
    <row r="1357" spans="1:7" x14ac:dyDescent="0.25">
      <c r="A1357" t="s">
        <v>332</v>
      </c>
      <c r="B1357" s="2">
        <v>22</v>
      </c>
      <c r="C1357" s="2">
        <v>4</v>
      </c>
      <c r="D1357" s="1">
        <v>1</v>
      </c>
      <c r="E1357" t="s">
        <v>23</v>
      </c>
      <c r="F1357" t="s">
        <v>57</v>
      </c>
      <c r="G1357" t="s">
        <v>10</v>
      </c>
    </row>
    <row r="1358" spans="1:7" x14ac:dyDescent="0.25">
      <c r="A1358" t="s">
        <v>106</v>
      </c>
      <c r="B1358" s="2">
        <v>642</v>
      </c>
      <c r="C1358" s="2">
        <v>180</v>
      </c>
      <c r="D1358" s="1">
        <v>5</v>
      </c>
      <c r="E1358" t="s">
        <v>23</v>
      </c>
      <c r="F1358" t="s">
        <v>26</v>
      </c>
      <c r="G1358" t="s">
        <v>10</v>
      </c>
    </row>
    <row r="1359" spans="1:7" x14ac:dyDescent="0.25">
      <c r="A1359" t="s">
        <v>276</v>
      </c>
      <c r="B1359" s="2">
        <v>767</v>
      </c>
      <c r="C1359" s="2">
        <v>-353</v>
      </c>
      <c r="D1359" s="1">
        <v>5</v>
      </c>
      <c r="E1359" t="s">
        <v>23</v>
      </c>
      <c r="F1359" t="s">
        <v>24</v>
      </c>
      <c r="G1359" t="s">
        <v>10</v>
      </c>
    </row>
    <row r="1360" spans="1:7" x14ac:dyDescent="0.25">
      <c r="A1360" t="s">
        <v>292</v>
      </c>
      <c r="B1360" s="2">
        <v>770</v>
      </c>
      <c r="C1360" s="2">
        <v>323</v>
      </c>
      <c r="D1360" s="1">
        <v>3</v>
      </c>
      <c r="E1360" t="s">
        <v>8</v>
      </c>
      <c r="F1360" t="s">
        <v>73</v>
      </c>
      <c r="G1360" t="s">
        <v>10</v>
      </c>
    </row>
    <row r="1361" spans="1:7" x14ac:dyDescent="0.25">
      <c r="A1361" t="s">
        <v>388</v>
      </c>
      <c r="B1361" s="2">
        <v>21</v>
      </c>
      <c r="C1361" s="2">
        <v>-17</v>
      </c>
      <c r="D1361" s="1">
        <v>3</v>
      </c>
      <c r="E1361" t="s">
        <v>23</v>
      </c>
      <c r="F1361" t="s">
        <v>142</v>
      </c>
      <c r="G1361" t="s">
        <v>10</v>
      </c>
    </row>
    <row r="1362" spans="1:7" x14ac:dyDescent="0.25">
      <c r="A1362" t="s">
        <v>337</v>
      </c>
      <c r="B1362" s="2">
        <v>21</v>
      </c>
      <c r="C1362" s="2">
        <v>-6</v>
      </c>
      <c r="D1362" s="1">
        <v>3</v>
      </c>
      <c r="E1362" t="s">
        <v>23</v>
      </c>
      <c r="F1362" t="s">
        <v>63</v>
      </c>
      <c r="G1362" t="s">
        <v>10</v>
      </c>
    </row>
    <row r="1363" spans="1:7" x14ac:dyDescent="0.25">
      <c r="A1363" t="s">
        <v>17</v>
      </c>
      <c r="B1363" s="2">
        <v>492</v>
      </c>
      <c r="C1363" s="2">
        <v>187</v>
      </c>
      <c r="D1363" s="1">
        <v>2</v>
      </c>
      <c r="E1363" t="s">
        <v>8</v>
      </c>
      <c r="F1363" t="s">
        <v>73</v>
      </c>
      <c r="G1363" t="s">
        <v>28</v>
      </c>
    </row>
    <row r="1364" spans="1:7" x14ac:dyDescent="0.25">
      <c r="A1364" t="s">
        <v>359</v>
      </c>
      <c r="B1364" s="2">
        <v>816</v>
      </c>
      <c r="C1364" s="2">
        <v>-96</v>
      </c>
      <c r="D1364" s="1">
        <v>3</v>
      </c>
      <c r="E1364" t="s">
        <v>8</v>
      </c>
      <c r="F1364" t="s">
        <v>18</v>
      </c>
      <c r="G1364" t="s">
        <v>82</v>
      </c>
    </row>
    <row r="1365" spans="1:7" x14ac:dyDescent="0.25">
      <c r="A1365" t="s">
        <v>270</v>
      </c>
      <c r="B1365" s="2">
        <v>25</v>
      </c>
      <c r="C1365" s="2">
        <v>2</v>
      </c>
      <c r="D1365" s="1">
        <v>3</v>
      </c>
      <c r="E1365" t="s">
        <v>23</v>
      </c>
      <c r="F1365" t="s">
        <v>32</v>
      </c>
      <c r="G1365" t="s">
        <v>19</v>
      </c>
    </row>
    <row r="1366" spans="1:7" x14ac:dyDescent="0.25">
      <c r="A1366" t="s">
        <v>306</v>
      </c>
      <c r="B1366" s="2">
        <v>802</v>
      </c>
      <c r="C1366" s="2">
        <v>120</v>
      </c>
      <c r="D1366" s="1">
        <v>7</v>
      </c>
      <c r="E1366" t="s">
        <v>8</v>
      </c>
      <c r="F1366" t="s">
        <v>73</v>
      </c>
      <c r="G1366" t="s">
        <v>10</v>
      </c>
    </row>
    <row r="1367" spans="1:7" x14ac:dyDescent="0.25">
      <c r="A1367" t="s">
        <v>515</v>
      </c>
      <c r="B1367" s="2">
        <v>811</v>
      </c>
      <c r="C1367" s="2">
        <v>154</v>
      </c>
      <c r="D1367" s="1">
        <v>7</v>
      </c>
      <c r="E1367" t="s">
        <v>8</v>
      </c>
      <c r="F1367" t="s">
        <v>73</v>
      </c>
      <c r="G1367" t="s">
        <v>28</v>
      </c>
    </row>
    <row r="1368" spans="1:7" x14ac:dyDescent="0.25">
      <c r="A1368" t="s">
        <v>458</v>
      </c>
      <c r="B1368" s="2">
        <v>835</v>
      </c>
      <c r="C1368" s="2">
        <v>267</v>
      </c>
      <c r="D1368" s="1">
        <v>5</v>
      </c>
      <c r="E1368" t="s">
        <v>8</v>
      </c>
      <c r="F1368" t="s">
        <v>21</v>
      </c>
      <c r="G1368" t="s">
        <v>82</v>
      </c>
    </row>
    <row r="1369" spans="1:7" x14ac:dyDescent="0.25">
      <c r="A1369" t="s">
        <v>279</v>
      </c>
      <c r="B1369" s="2">
        <v>21</v>
      </c>
      <c r="C1369" s="2">
        <v>-5</v>
      </c>
      <c r="D1369" s="1">
        <v>1</v>
      </c>
      <c r="E1369" t="s">
        <v>8</v>
      </c>
      <c r="F1369" t="s">
        <v>73</v>
      </c>
      <c r="G1369" t="s">
        <v>10</v>
      </c>
    </row>
    <row r="1370" spans="1:7" x14ac:dyDescent="0.25">
      <c r="A1370" t="s">
        <v>294</v>
      </c>
      <c r="B1370" s="2">
        <v>450</v>
      </c>
      <c r="C1370" s="2">
        <v>-190</v>
      </c>
      <c r="D1370" s="1">
        <v>4</v>
      </c>
      <c r="E1370" t="s">
        <v>12</v>
      </c>
      <c r="F1370" t="s">
        <v>16</v>
      </c>
      <c r="G1370" t="s">
        <v>10</v>
      </c>
    </row>
    <row r="1371" spans="1:7" x14ac:dyDescent="0.25">
      <c r="A1371" t="s">
        <v>307</v>
      </c>
      <c r="B1371" s="2">
        <v>24</v>
      </c>
      <c r="C1371" s="2">
        <v>-1</v>
      </c>
      <c r="D1371" s="1">
        <v>4</v>
      </c>
      <c r="E1371" t="s">
        <v>23</v>
      </c>
      <c r="F1371" t="s">
        <v>43</v>
      </c>
      <c r="G1371" t="s">
        <v>19</v>
      </c>
    </row>
    <row r="1372" spans="1:7" x14ac:dyDescent="0.25">
      <c r="A1372" t="s">
        <v>516</v>
      </c>
      <c r="B1372" s="2">
        <v>832</v>
      </c>
      <c r="C1372" s="2">
        <v>0</v>
      </c>
      <c r="D1372" s="1">
        <v>3</v>
      </c>
      <c r="E1372" t="s">
        <v>23</v>
      </c>
      <c r="F1372" t="s">
        <v>24</v>
      </c>
      <c r="G1372" t="s">
        <v>28</v>
      </c>
    </row>
    <row r="1373" spans="1:7" x14ac:dyDescent="0.25">
      <c r="A1373" t="s">
        <v>361</v>
      </c>
      <c r="B1373" s="2">
        <v>833</v>
      </c>
      <c r="C1373" s="2">
        <v>93</v>
      </c>
      <c r="D1373" s="1">
        <v>3</v>
      </c>
      <c r="E1373" t="s">
        <v>23</v>
      </c>
      <c r="F1373" t="s">
        <v>24</v>
      </c>
      <c r="G1373" t="s">
        <v>28</v>
      </c>
    </row>
    <row r="1374" spans="1:7" x14ac:dyDescent="0.25">
      <c r="A1374" t="s">
        <v>517</v>
      </c>
      <c r="B1374" s="2">
        <v>20</v>
      </c>
      <c r="C1374" s="2">
        <v>6</v>
      </c>
      <c r="D1374" s="1">
        <v>1</v>
      </c>
      <c r="E1374" t="s">
        <v>23</v>
      </c>
      <c r="F1374" t="s">
        <v>81</v>
      </c>
      <c r="G1374" t="s">
        <v>10</v>
      </c>
    </row>
    <row r="1375" spans="1:7" x14ac:dyDescent="0.25">
      <c r="A1375" t="s">
        <v>418</v>
      </c>
      <c r="B1375" s="2">
        <v>23</v>
      </c>
      <c r="C1375" s="2">
        <v>-5</v>
      </c>
      <c r="D1375" s="1">
        <v>7</v>
      </c>
      <c r="E1375" t="s">
        <v>23</v>
      </c>
      <c r="F1375" t="s">
        <v>30</v>
      </c>
      <c r="G1375" t="s">
        <v>19</v>
      </c>
    </row>
    <row r="1376" spans="1:7" x14ac:dyDescent="0.25">
      <c r="A1376" t="s">
        <v>171</v>
      </c>
      <c r="B1376" s="2">
        <v>550</v>
      </c>
      <c r="C1376" s="2">
        <v>-242</v>
      </c>
      <c r="D1376" s="1">
        <v>5</v>
      </c>
      <c r="E1376" t="s">
        <v>12</v>
      </c>
      <c r="F1376" t="s">
        <v>131</v>
      </c>
      <c r="G1376" t="s">
        <v>28</v>
      </c>
    </row>
    <row r="1377" spans="1:7" x14ac:dyDescent="0.25">
      <c r="A1377" t="s">
        <v>344</v>
      </c>
      <c r="B1377" s="2">
        <v>148</v>
      </c>
      <c r="C1377" s="2">
        <v>-91</v>
      </c>
      <c r="D1377" s="1">
        <v>2</v>
      </c>
      <c r="E1377" t="s">
        <v>8</v>
      </c>
      <c r="F1377" t="s">
        <v>21</v>
      </c>
      <c r="G1377" t="s">
        <v>10</v>
      </c>
    </row>
    <row r="1378" spans="1:7" x14ac:dyDescent="0.25">
      <c r="A1378" t="s">
        <v>178</v>
      </c>
      <c r="B1378" s="2">
        <v>846</v>
      </c>
      <c r="C1378" s="2">
        <v>9</v>
      </c>
      <c r="D1378" s="1">
        <v>2</v>
      </c>
      <c r="E1378" t="s">
        <v>12</v>
      </c>
      <c r="F1378" t="s">
        <v>13</v>
      </c>
      <c r="G1378" t="s">
        <v>82</v>
      </c>
    </row>
    <row r="1379" spans="1:7" x14ac:dyDescent="0.25">
      <c r="A1379" t="s">
        <v>87</v>
      </c>
      <c r="B1379" s="2">
        <v>856</v>
      </c>
      <c r="C1379" s="2">
        <v>385</v>
      </c>
      <c r="D1379" s="1">
        <v>6</v>
      </c>
      <c r="E1379" t="s">
        <v>8</v>
      </c>
      <c r="F1379" t="s">
        <v>18</v>
      </c>
      <c r="G1379" t="s">
        <v>10</v>
      </c>
    </row>
    <row r="1380" spans="1:7" x14ac:dyDescent="0.25">
      <c r="A1380" t="s">
        <v>374</v>
      </c>
      <c r="B1380" s="2">
        <v>871</v>
      </c>
      <c r="C1380" s="2">
        <v>131</v>
      </c>
      <c r="D1380" s="1">
        <v>2</v>
      </c>
      <c r="E1380" t="s">
        <v>12</v>
      </c>
      <c r="F1380" t="s">
        <v>16</v>
      </c>
      <c r="G1380" t="s">
        <v>28</v>
      </c>
    </row>
    <row r="1381" spans="1:7" x14ac:dyDescent="0.25">
      <c r="A1381" t="s">
        <v>211</v>
      </c>
      <c r="B1381" s="2">
        <v>19</v>
      </c>
      <c r="C1381" s="2">
        <v>-18</v>
      </c>
      <c r="D1381" s="1">
        <v>4</v>
      </c>
      <c r="E1381" t="s">
        <v>23</v>
      </c>
      <c r="F1381" t="s">
        <v>32</v>
      </c>
      <c r="G1381" t="s">
        <v>10</v>
      </c>
    </row>
    <row r="1382" spans="1:7" x14ac:dyDescent="0.25">
      <c r="A1382" t="s">
        <v>518</v>
      </c>
      <c r="B1382" s="2">
        <v>610</v>
      </c>
      <c r="C1382" s="2">
        <v>-66</v>
      </c>
      <c r="D1382" s="1">
        <v>2</v>
      </c>
      <c r="E1382" t="s">
        <v>12</v>
      </c>
      <c r="F1382" t="s">
        <v>45</v>
      </c>
      <c r="G1382" t="s">
        <v>10</v>
      </c>
    </row>
    <row r="1383" spans="1:7" x14ac:dyDescent="0.25">
      <c r="A1383" t="s">
        <v>359</v>
      </c>
      <c r="B1383" s="2">
        <v>880</v>
      </c>
      <c r="C1383" s="2">
        <v>97</v>
      </c>
      <c r="D1383" s="1">
        <v>8</v>
      </c>
      <c r="E1383" t="s">
        <v>12</v>
      </c>
      <c r="F1383" t="s">
        <v>131</v>
      </c>
      <c r="G1383" t="s">
        <v>82</v>
      </c>
    </row>
    <row r="1384" spans="1:7" x14ac:dyDescent="0.25">
      <c r="A1384" t="s">
        <v>132</v>
      </c>
      <c r="B1384" s="2">
        <v>22</v>
      </c>
      <c r="C1384" s="2">
        <v>-8</v>
      </c>
      <c r="D1384" s="1">
        <v>4</v>
      </c>
      <c r="E1384" t="s">
        <v>23</v>
      </c>
      <c r="F1384" t="s">
        <v>30</v>
      </c>
      <c r="G1384" t="s">
        <v>19</v>
      </c>
    </row>
    <row r="1385" spans="1:7" x14ac:dyDescent="0.25">
      <c r="A1385" t="s">
        <v>519</v>
      </c>
      <c r="B1385" s="2">
        <v>22</v>
      </c>
      <c r="C1385" s="2">
        <v>11</v>
      </c>
      <c r="D1385" s="1">
        <v>2</v>
      </c>
      <c r="E1385" t="s">
        <v>23</v>
      </c>
      <c r="F1385" t="s">
        <v>43</v>
      </c>
      <c r="G1385" t="s">
        <v>19</v>
      </c>
    </row>
    <row r="1386" spans="1:7" x14ac:dyDescent="0.25">
      <c r="A1386" t="s">
        <v>520</v>
      </c>
      <c r="B1386" s="2">
        <v>21</v>
      </c>
      <c r="C1386" s="2">
        <v>4</v>
      </c>
      <c r="D1386" s="1">
        <v>3</v>
      </c>
      <c r="E1386" t="s">
        <v>23</v>
      </c>
      <c r="F1386" t="s">
        <v>30</v>
      </c>
      <c r="G1386" t="s">
        <v>19</v>
      </c>
    </row>
    <row r="1387" spans="1:7" x14ac:dyDescent="0.25">
      <c r="A1387" t="s">
        <v>307</v>
      </c>
      <c r="B1387" s="2">
        <v>18</v>
      </c>
      <c r="C1387" s="2">
        <v>1</v>
      </c>
      <c r="D1387" s="1">
        <v>3</v>
      </c>
      <c r="E1387" t="s">
        <v>23</v>
      </c>
      <c r="F1387" t="s">
        <v>30</v>
      </c>
      <c r="G1387" t="s">
        <v>10</v>
      </c>
    </row>
    <row r="1388" spans="1:7" x14ac:dyDescent="0.25">
      <c r="A1388" t="s">
        <v>521</v>
      </c>
      <c r="B1388" s="2">
        <v>911</v>
      </c>
      <c r="C1388" s="2">
        <v>202</v>
      </c>
      <c r="D1388" s="1">
        <v>7</v>
      </c>
      <c r="E1388" t="s">
        <v>12</v>
      </c>
      <c r="F1388" t="s">
        <v>13</v>
      </c>
      <c r="G1388" t="s">
        <v>10</v>
      </c>
    </row>
    <row r="1389" spans="1:7" x14ac:dyDescent="0.25">
      <c r="A1389" t="s">
        <v>299</v>
      </c>
      <c r="B1389" s="2">
        <v>18</v>
      </c>
      <c r="C1389" s="2">
        <v>2</v>
      </c>
      <c r="D1389" s="1">
        <v>3</v>
      </c>
      <c r="E1389" t="s">
        <v>23</v>
      </c>
      <c r="F1389" t="s">
        <v>30</v>
      </c>
      <c r="G1389" t="s">
        <v>10</v>
      </c>
    </row>
    <row r="1390" spans="1:7" x14ac:dyDescent="0.25">
      <c r="A1390" t="s">
        <v>349</v>
      </c>
      <c r="B1390" s="2">
        <v>911</v>
      </c>
      <c r="C1390" s="2">
        <v>355</v>
      </c>
      <c r="D1390" s="1">
        <v>5</v>
      </c>
      <c r="E1390" t="s">
        <v>8</v>
      </c>
      <c r="F1390" t="s">
        <v>21</v>
      </c>
      <c r="G1390" t="s">
        <v>82</v>
      </c>
    </row>
    <row r="1391" spans="1:7" x14ac:dyDescent="0.25">
      <c r="A1391" t="s">
        <v>229</v>
      </c>
      <c r="B1391" s="2">
        <v>143</v>
      </c>
      <c r="C1391" s="2">
        <v>-129</v>
      </c>
      <c r="D1391" s="1">
        <v>2</v>
      </c>
      <c r="E1391" t="s">
        <v>8</v>
      </c>
      <c r="F1391" t="s">
        <v>21</v>
      </c>
      <c r="G1391" t="s">
        <v>10</v>
      </c>
    </row>
    <row r="1392" spans="1:7" x14ac:dyDescent="0.25">
      <c r="A1392" t="s">
        <v>130</v>
      </c>
      <c r="B1392" s="2">
        <v>918</v>
      </c>
      <c r="C1392" s="2">
        <v>22</v>
      </c>
      <c r="D1392" s="1">
        <v>9</v>
      </c>
      <c r="E1392" t="s">
        <v>8</v>
      </c>
      <c r="F1392" t="s">
        <v>9</v>
      </c>
      <c r="G1392" t="s">
        <v>10</v>
      </c>
    </row>
    <row r="1393" spans="1:7" x14ac:dyDescent="0.25">
      <c r="A1393" t="s">
        <v>135</v>
      </c>
      <c r="B1393" s="2">
        <v>925</v>
      </c>
      <c r="C1393" s="2">
        <v>-447</v>
      </c>
      <c r="D1393" s="1">
        <v>5</v>
      </c>
      <c r="E1393" t="s">
        <v>8</v>
      </c>
      <c r="F1393" t="s">
        <v>9</v>
      </c>
      <c r="G1393" t="s">
        <v>10</v>
      </c>
    </row>
    <row r="1394" spans="1:7" x14ac:dyDescent="0.25">
      <c r="A1394" t="s">
        <v>174</v>
      </c>
      <c r="B1394" s="2">
        <v>17</v>
      </c>
      <c r="C1394" s="2">
        <v>8</v>
      </c>
      <c r="D1394" s="1">
        <v>2</v>
      </c>
      <c r="E1394" t="s">
        <v>23</v>
      </c>
      <c r="F1394" t="s">
        <v>43</v>
      </c>
      <c r="G1394" t="s">
        <v>10</v>
      </c>
    </row>
    <row r="1395" spans="1:7" x14ac:dyDescent="0.25">
      <c r="A1395" t="s">
        <v>522</v>
      </c>
      <c r="B1395" s="2">
        <v>465</v>
      </c>
      <c r="C1395" s="2">
        <v>207</v>
      </c>
      <c r="D1395" s="1">
        <v>9</v>
      </c>
      <c r="E1395" t="s">
        <v>23</v>
      </c>
      <c r="F1395" t="s">
        <v>26</v>
      </c>
      <c r="G1395" t="s">
        <v>10</v>
      </c>
    </row>
    <row r="1396" spans="1:7" x14ac:dyDescent="0.25">
      <c r="A1396" t="s">
        <v>150</v>
      </c>
      <c r="B1396" s="2">
        <v>17</v>
      </c>
      <c r="C1396" s="2">
        <v>-9</v>
      </c>
      <c r="D1396" s="1">
        <v>3</v>
      </c>
      <c r="E1396" t="s">
        <v>23</v>
      </c>
      <c r="F1396" t="s">
        <v>57</v>
      </c>
      <c r="G1396" t="s">
        <v>10</v>
      </c>
    </row>
    <row r="1397" spans="1:7" x14ac:dyDescent="0.25">
      <c r="A1397" t="s">
        <v>133</v>
      </c>
      <c r="B1397" s="2">
        <v>935</v>
      </c>
      <c r="C1397" s="2">
        <v>114</v>
      </c>
      <c r="D1397" s="1">
        <v>4</v>
      </c>
      <c r="E1397" t="s">
        <v>8</v>
      </c>
      <c r="F1397" t="s">
        <v>9</v>
      </c>
      <c r="G1397" t="s">
        <v>28</v>
      </c>
    </row>
    <row r="1398" spans="1:7" x14ac:dyDescent="0.25">
      <c r="A1398" t="s">
        <v>119</v>
      </c>
      <c r="B1398" s="2">
        <v>16</v>
      </c>
      <c r="C1398" s="2">
        <v>-10</v>
      </c>
      <c r="D1398" s="1">
        <v>2</v>
      </c>
      <c r="E1398" t="s">
        <v>23</v>
      </c>
      <c r="F1398" t="s">
        <v>81</v>
      </c>
      <c r="G1398" t="s">
        <v>10</v>
      </c>
    </row>
    <row r="1399" spans="1:7" x14ac:dyDescent="0.25">
      <c r="A1399" t="s">
        <v>15</v>
      </c>
      <c r="B1399" s="2">
        <v>954</v>
      </c>
      <c r="C1399" s="2">
        <v>95</v>
      </c>
      <c r="D1399" s="1">
        <v>3</v>
      </c>
      <c r="E1399" t="s">
        <v>8</v>
      </c>
      <c r="F1399" t="s">
        <v>18</v>
      </c>
      <c r="G1399" t="s">
        <v>28</v>
      </c>
    </row>
    <row r="1400" spans="1:7" x14ac:dyDescent="0.25">
      <c r="A1400" t="s">
        <v>115</v>
      </c>
      <c r="B1400" s="2">
        <v>915</v>
      </c>
      <c r="C1400" s="2">
        <v>-99</v>
      </c>
      <c r="D1400" s="1">
        <v>3</v>
      </c>
      <c r="E1400" t="s">
        <v>12</v>
      </c>
      <c r="F1400" t="s">
        <v>45</v>
      </c>
      <c r="G1400" t="s">
        <v>82</v>
      </c>
    </row>
    <row r="1401" spans="1:7" x14ac:dyDescent="0.25">
      <c r="A1401" t="s">
        <v>330</v>
      </c>
      <c r="B1401" s="2">
        <v>955</v>
      </c>
      <c r="C1401" s="2">
        <v>305</v>
      </c>
      <c r="D1401" s="1">
        <v>3</v>
      </c>
      <c r="E1401" t="s">
        <v>8</v>
      </c>
      <c r="F1401" t="s">
        <v>18</v>
      </c>
      <c r="G1401" t="s">
        <v>82</v>
      </c>
    </row>
    <row r="1402" spans="1:7" x14ac:dyDescent="0.25">
      <c r="A1402" t="s">
        <v>64</v>
      </c>
      <c r="B1402" s="2">
        <v>976</v>
      </c>
      <c r="C1402" s="2">
        <v>293</v>
      </c>
      <c r="D1402" s="1">
        <v>4</v>
      </c>
      <c r="E1402" t="s">
        <v>8</v>
      </c>
      <c r="F1402" t="s">
        <v>73</v>
      </c>
      <c r="G1402" t="s">
        <v>10</v>
      </c>
    </row>
    <row r="1403" spans="1:7" x14ac:dyDescent="0.25">
      <c r="A1403" t="s">
        <v>344</v>
      </c>
      <c r="B1403" s="2">
        <v>1069</v>
      </c>
      <c r="C1403" s="2">
        <v>0</v>
      </c>
      <c r="D1403" s="1">
        <v>6</v>
      </c>
      <c r="E1403" t="s">
        <v>23</v>
      </c>
      <c r="F1403" t="s">
        <v>26</v>
      </c>
      <c r="G1403" t="s">
        <v>14</v>
      </c>
    </row>
    <row r="1404" spans="1:7" x14ac:dyDescent="0.25">
      <c r="A1404" t="s">
        <v>290</v>
      </c>
      <c r="B1404" s="2">
        <v>19</v>
      </c>
      <c r="C1404" s="2">
        <v>-15</v>
      </c>
      <c r="D1404" s="1">
        <v>3</v>
      </c>
      <c r="E1404" t="s">
        <v>23</v>
      </c>
      <c r="F1404" t="s">
        <v>30</v>
      </c>
      <c r="G1404" t="s">
        <v>19</v>
      </c>
    </row>
    <row r="1405" spans="1:7" x14ac:dyDescent="0.25">
      <c r="A1405" t="s">
        <v>321</v>
      </c>
      <c r="B1405" s="2">
        <v>16</v>
      </c>
      <c r="C1405" s="2">
        <v>6</v>
      </c>
      <c r="D1405" s="1">
        <v>3</v>
      </c>
      <c r="E1405" t="s">
        <v>23</v>
      </c>
      <c r="F1405" t="s">
        <v>30</v>
      </c>
      <c r="G1405" t="s">
        <v>10</v>
      </c>
    </row>
    <row r="1406" spans="1:7" x14ac:dyDescent="0.25">
      <c r="A1406" t="s">
        <v>100</v>
      </c>
      <c r="B1406" s="2">
        <v>1030</v>
      </c>
      <c r="C1406" s="2">
        <v>206</v>
      </c>
      <c r="D1406" s="1">
        <v>8</v>
      </c>
      <c r="E1406" t="s">
        <v>8</v>
      </c>
      <c r="F1406" t="s">
        <v>18</v>
      </c>
      <c r="G1406" t="s">
        <v>28</v>
      </c>
    </row>
    <row r="1407" spans="1:7" x14ac:dyDescent="0.25">
      <c r="A1407" t="s">
        <v>288</v>
      </c>
      <c r="B1407" s="2">
        <v>620</v>
      </c>
      <c r="C1407" s="2">
        <v>82</v>
      </c>
      <c r="D1407" s="1">
        <v>6</v>
      </c>
      <c r="E1407" t="s">
        <v>8</v>
      </c>
      <c r="F1407" t="s">
        <v>73</v>
      </c>
      <c r="G1407" t="s">
        <v>10</v>
      </c>
    </row>
    <row r="1408" spans="1:7" x14ac:dyDescent="0.25">
      <c r="A1408" t="s">
        <v>214</v>
      </c>
      <c r="B1408" s="2">
        <v>16</v>
      </c>
      <c r="C1408" s="2">
        <v>8</v>
      </c>
      <c r="D1408" s="1">
        <v>2</v>
      </c>
      <c r="E1408" t="s">
        <v>23</v>
      </c>
      <c r="F1408" t="s">
        <v>30</v>
      </c>
      <c r="G1408" t="s">
        <v>10</v>
      </c>
    </row>
    <row r="1409" spans="1:7" x14ac:dyDescent="0.25">
      <c r="A1409" t="s">
        <v>61</v>
      </c>
      <c r="B1409" s="2">
        <v>19</v>
      </c>
      <c r="C1409" s="2">
        <v>8</v>
      </c>
      <c r="D1409" s="1">
        <v>2</v>
      </c>
      <c r="E1409" t="s">
        <v>23</v>
      </c>
      <c r="F1409" t="s">
        <v>30</v>
      </c>
      <c r="G1409" t="s">
        <v>19</v>
      </c>
    </row>
    <row r="1410" spans="1:7" x14ac:dyDescent="0.25">
      <c r="A1410" t="s">
        <v>189</v>
      </c>
      <c r="B1410" s="2">
        <v>249</v>
      </c>
      <c r="C1410" s="2">
        <v>-130</v>
      </c>
      <c r="D1410" s="1">
        <v>4</v>
      </c>
      <c r="E1410" t="s">
        <v>8</v>
      </c>
      <c r="F1410" t="s">
        <v>21</v>
      </c>
      <c r="G1410" t="s">
        <v>28</v>
      </c>
    </row>
    <row r="1411" spans="1:7" x14ac:dyDescent="0.25">
      <c r="A1411" t="s">
        <v>523</v>
      </c>
      <c r="B1411" s="2">
        <v>16</v>
      </c>
      <c r="C1411" s="2">
        <v>6</v>
      </c>
      <c r="D1411" s="1">
        <v>1</v>
      </c>
      <c r="E1411" t="s">
        <v>23</v>
      </c>
      <c r="F1411" t="s">
        <v>57</v>
      </c>
      <c r="G1411" t="s">
        <v>10</v>
      </c>
    </row>
    <row r="1412" spans="1:7" x14ac:dyDescent="0.25">
      <c r="A1412" t="s">
        <v>127</v>
      </c>
      <c r="B1412" s="2">
        <v>1361</v>
      </c>
      <c r="C1412" s="2">
        <v>197</v>
      </c>
      <c r="D1412" s="1">
        <v>9</v>
      </c>
      <c r="E1412" t="s">
        <v>12</v>
      </c>
      <c r="F1412" t="s">
        <v>16</v>
      </c>
      <c r="G1412" t="s">
        <v>10</v>
      </c>
    </row>
    <row r="1413" spans="1:7" x14ac:dyDescent="0.25">
      <c r="A1413" t="s">
        <v>122</v>
      </c>
      <c r="B1413" s="2">
        <v>15</v>
      </c>
      <c r="C1413" s="2">
        <v>1</v>
      </c>
      <c r="D1413" s="1">
        <v>1</v>
      </c>
      <c r="E1413" t="s">
        <v>23</v>
      </c>
      <c r="F1413" t="s">
        <v>142</v>
      </c>
      <c r="G1413" t="s">
        <v>10</v>
      </c>
    </row>
    <row r="1414" spans="1:7" x14ac:dyDescent="0.25">
      <c r="A1414" t="s">
        <v>265</v>
      </c>
      <c r="B1414" s="2">
        <v>1076</v>
      </c>
      <c r="C1414" s="2">
        <v>-38</v>
      </c>
      <c r="D1414" s="1">
        <v>4</v>
      </c>
      <c r="E1414" t="s">
        <v>8</v>
      </c>
      <c r="F1414" t="s">
        <v>18</v>
      </c>
      <c r="G1414" t="s">
        <v>10</v>
      </c>
    </row>
    <row r="1415" spans="1:7" x14ac:dyDescent="0.25">
      <c r="A1415" t="s">
        <v>159</v>
      </c>
      <c r="B1415" s="2">
        <v>18</v>
      </c>
      <c r="C1415" s="2">
        <v>2</v>
      </c>
      <c r="D1415" s="1">
        <v>3</v>
      </c>
      <c r="E1415" t="s">
        <v>23</v>
      </c>
      <c r="F1415" t="s">
        <v>30</v>
      </c>
      <c r="G1415" t="s">
        <v>19</v>
      </c>
    </row>
    <row r="1416" spans="1:7" x14ac:dyDescent="0.25">
      <c r="A1416" t="s">
        <v>524</v>
      </c>
      <c r="B1416" s="2">
        <v>1101</v>
      </c>
      <c r="C1416" s="2">
        <v>352</v>
      </c>
      <c r="D1416" s="1">
        <v>3</v>
      </c>
      <c r="E1416" t="s">
        <v>12</v>
      </c>
      <c r="F1416" t="s">
        <v>16</v>
      </c>
      <c r="G1416" t="s">
        <v>28</v>
      </c>
    </row>
    <row r="1417" spans="1:7" x14ac:dyDescent="0.25">
      <c r="A1417" t="s">
        <v>180</v>
      </c>
      <c r="B1417" s="2">
        <v>15</v>
      </c>
      <c r="C1417" s="2">
        <v>2</v>
      </c>
      <c r="D1417" s="1">
        <v>1</v>
      </c>
      <c r="E1417" t="s">
        <v>23</v>
      </c>
      <c r="F1417" t="s">
        <v>63</v>
      </c>
      <c r="G1417" t="s">
        <v>10</v>
      </c>
    </row>
    <row r="1418" spans="1:7" x14ac:dyDescent="0.25">
      <c r="A1418" t="s">
        <v>55</v>
      </c>
      <c r="B1418" s="2">
        <v>1104</v>
      </c>
      <c r="C1418" s="2">
        <v>209</v>
      </c>
      <c r="D1418" s="1">
        <v>4</v>
      </c>
      <c r="E1418" t="s">
        <v>23</v>
      </c>
      <c r="F1418" t="s">
        <v>24</v>
      </c>
      <c r="G1418" t="s">
        <v>28</v>
      </c>
    </row>
    <row r="1419" spans="1:7" x14ac:dyDescent="0.25">
      <c r="A1419" t="s">
        <v>155</v>
      </c>
      <c r="B1419" s="2">
        <v>14</v>
      </c>
      <c r="C1419" s="2">
        <v>2</v>
      </c>
      <c r="D1419" s="1">
        <v>1</v>
      </c>
      <c r="E1419" t="s">
        <v>23</v>
      </c>
      <c r="F1419" t="s">
        <v>30</v>
      </c>
      <c r="G1419" t="s">
        <v>10</v>
      </c>
    </row>
    <row r="1420" spans="1:7" x14ac:dyDescent="0.25">
      <c r="A1420" t="s">
        <v>104</v>
      </c>
      <c r="B1420" s="2">
        <v>14</v>
      </c>
      <c r="C1420" s="2">
        <v>5</v>
      </c>
      <c r="D1420" s="1">
        <v>1</v>
      </c>
      <c r="E1420" t="s">
        <v>23</v>
      </c>
      <c r="F1420" t="s">
        <v>30</v>
      </c>
      <c r="G1420" t="s">
        <v>10</v>
      </c>
    </row>
    <row r="1421" spans="1:7" x14ac:dyDescent="0.25">
      <c r="A1421" t="s">
        <v>262</v>
      </c>
      <c r="B1421" s="2">
        <v>14</v>
      </c>
      <c r="C1421" s="2">
        <v>-3</v>
      </c>
      <c r="D1421" s="1">
        <v>2</v>
      </c>
      <c r="E1421" t="s">
        <v>23</v>
      </c>
      <c r="F1421" t="s">
        <v>63</v>
      </c>
      <c r="G1421" t="s">
        <v>10</v>
      </c>
    </row>
    <row r="1422" spans="1:7" x14ac:dyDescent="0.25">
      <c r="A1422" t="s">
        <v>27</v>
      </c>
      <c r="B1422" s="2">
        <v>14</v>
      </c>
      <c r="C1422" s="2">
        <v>-1</v>
      </c>
      <c r="D1422" s="1">
        <v>4</v>
      </c>
      <c r="E1422" t="s">
        <v>23</v>
      </c>
      <c r="F1422" t="s">
        <v>32</v>
      </c>
      <c r="G1422" t="s">
        <v>10</v>
      </c>
    </row>
    <row r="1423" spans="1:7" x14ac:dyDescent="0.25">
      <c r="A1423" t="s">
        <v>62</v>
      </c>
      <c r="B1423" s="2">
        <v>13</v>
      </c>
      <c r="C1423" s="2">
        <v>-8</v>
      </c>
      <c r="D1423" s="1">
        <v>1</v>
      </c>
      <c r="E1423" t="s">
        <v>23</v>
      </c>
      <c r="F1423" t="s">
        <v>81</v>
      </c>
      <c r="G1423" t="s">
        <v>10</v>
      </c>
    </row>
    <row r="1424" spans="1:7" x14ac:dyDescent="0.25">
      <c r="A1424" t="s">
        <v>123</v>
      </c>
      <c r="B1424" s="2">
        <v>13</v>
      </c>
      <c r="C1424" s="2">
        <v>-1</v>
      </c>
      <c r="D1424" s="1">
        <v>3</v>
      </c>
      <c r="E1424" t="s">
        <v>23</v>
      </c>
      <c r="F1424" t="s">
        <v>30</v>
      </c>
      <c r="G1424" t="s">
        <v>10</v>
      </c>
    </row>
    <row r="1425" spans="1:7" x14ac:dyDescent="0.25">
      <c r="A1425" t="s">
        <v>346</v>
      </c>
      <c r="B1425" s="2">
        <v>1275</v>
      </c>
      <c r="C1425" s="2">
        <v>1148</v>
      </c>
      <c r="D1425" s="1">
        <v>7</v>
      </c>
      <c r="E1425" t="s">
        <v>12</v>
      </c>
      <c r="F1425" t="s">
        <v>16</v>
      </c>
      <c r="G1425" t="s">
        <v>14</v>
      </c>
    </row>
    <row r="1426" spans="1:7" x14ac:dyDescent="0.25">
      <c r="A1426" t="s">
        <v>167</v>
      </c>
      <c r="B1426" s="2">
        <v>17</v>
      </c>
      <c r="C1426" s="2">
        <v>1</v>
      </c>
      <c r="D1426" s="1">
        <v>2</v>
      </c>
      <c r="E1426" t="s">
        <v>23</v>
      </c>
      <c r="F1426" t="s">
        <v>43</v>
      </c>
      <c r="G1426" t="s">
        <v>19</v>
      </c>
    </row>
    <row r="1427" spans="1:7" x14ac:dyDescent="0.25">
      <c r="A1427" t="s">
        <v>49</v>
      </c>
      <c r="B1427" s="2">
        <v>13</v>
      </c>
      <c r="C1427" s="2">
        <v>0</v>
      </c>
      <c r="D1427" s="1">
        <v>2</v>
      </c>
      <c r="E1427" t="s">
        <v>23</v>
      </c>
      <c r="F1427" t="s">
        <v>30</v>
      </c>
      <c r="G1427" t="s">
        <v>10</v>
      </c>
    </row>
    <row r="1428" spans="1:7" x14ac:dyDescent="0.25">
      <c r="A1428" t="s">
        <v>235</v>
      </c>
      <c r="B1428" s="2">
        <v>1270</v>
      </c>
      <c r="C1428" s="2">
        <v>546</v>
      </c>
      <c r="D1428" s="1">
        <v>11</v>
      </c>
      <c r="E1428" t="s">
        <v>8</v>
      </c>
      <c r="F1428" t="s">
        <v>9</v>
      </c>
      <c r="G1428" t="s">
        <v>14</v>
      </c>
    </row>
    <row r="1429" spans="1:7" x14ac:dyDescent="0.25">
      <c r="A1429" t="s">
        <v>137</v>
      </c>
      <c r="B1429" s="2">
        <v>13</v>
      </c>
      <c r="C1429" s="2">
        <v>-2</v>
      </c>
      <c r="D1429" s="1">
        <v>1</v>
      </c>
      <c r="E1429" t="s">
        <v>23</v>
      </c>
      <c r="F1429" t="s">
        <v>57</v>
      </c>
      <c r="G1429" t="s">
        <v>10</v>
      </c>
    </row>
    <row r="1430" spans="1:7" x14ac:dyDescent="0.25">
      <c r="A1430" t="s">
        <v>525</v>
      </c>
      <c r="B1430" s="2">
        <v>13</v>
      </c>
      <c r="C1430" s="2">
        <v>3</v>
      </c>
      <c r="D1430" s="1">
        <v>1</v>
      </c>
      <c r="E1430" t="s">
        <v>23</v>
      </c>
      <c r="F1430" t="s">
        <v>63</v>
      </c>
      <c r="G1430" t="s">
        <v>10</v>
      </c>
    </row>
    <row r="1431" spans="1:7" x14ac:dyDescent="0.25">
      <c r="A1431" t="s">
        <v>382</v>
      </c>
      <c r="B1431" s="2">
        <v>17</v>
      </c>
      <c r="C1431" s="2">
        <v>5</v>
      </c>
      <c r="D1431" s="1">
        <v>1</v>
      </c>
      <c r="E1431" t="s">
        <v>23</v>
      </c>
      <c r="F1431" t="s">
        <v>30</v>
      </c>
      <c r="G1431" t="s">
        <v>28</v>
      </c>
    </row>
    <row r="1432" spans="1:7" x14ac:dyDescent="0.25">
      <c r="A1432" t="s">
        <v>112</v>
      </c>
      <c r="B1432" s="2">
        <v>13</v>
      </c>
      <c r="C1432" s="2">
        <v>-13</v>
      </c>
      <c r="D1432" s="1">
        <v>2</v>
      </c>
      <c r="E1432" t="s">
        <v>23</v>
      </c>
      <c r="F1432" t="s">
        <v>43</v>
      </c>
      <c r="G1432" t="s">
        <v>10</v>
      </c>
    </row>
    <row r="1433" spans="1:7" x14ac:dyDescent="0.25">
      <c r="A1433" t="s">
        <v>371</v>
      </c>
      <c r="B1433" s="2">
        <v>13</v>
      </c>
      <c r="C1433" s="2">
        <v>-9</v>
      </c>
      <c r="D1433" s="1">
        <v>2</v>
      </c>
      <c r="E1433" t="s">
        <v>23</v>
      </c>
      <c r="F1433" t="s">
        <v>43</v>
      </c>
      <c r="G1433" t="s">
        <v>10</v>
      </c>
    </row>
    <row r="1434" spans="1:7" x14ac:dyDescent="0.25">
      <c r="A1434" t="s">
        <v>158</v>
      </c>
      <c r="B1434" s="2">
        <v>1263</v>
      </c>
      <c r="C1434" s="2">
        <v>-56</v>
      </c>
      <c r="D1434" s="1">
        <v>5</v>
      </c>
      <c r="E1434" t="s">
        <v>23</v>
      </c>
      <c r="F1434" t="s">
        <v>24</v>
      </c>
      <c r="G1434" t="s">
        <v>14</v>
      </c>
    </row>
    <row r="1435" spans="1:7" x14ac:dyDescent="0.25">
      <c r="A1435" t="s">
        <v>526</v>
      </c>
      <c r="B1435" s="2">
        <v>1629</v>
      </c>
      <c r="C1435" s="2">
        <v>-153</v>
      </c>
      <c r="D1435" s="1">
        <v>3</v>
      </c>
      <c r="E1435" t="s">
        <v>8</v>
      </c>
      <c r="F1435" t="s">
        <v>21</v>
      </c>
      <c r="G1435" t="s">
        <v>10</v>
      </c>
    </row>
    <row r="1436" spans="1:7" x14ac:dyDescent="0.25">
      <c r="A1436" t="s">
        <v>104</v>
      </c>
      <c r="B1436" s="2">
        <v>17</v>
      </c>
      <c r="C1436" s="2">
        <v>7</v>
      </c>
      <c r="D1436" s="1">
        <v>3</v>
      </c>
      <c r="E1436" t="s">
        <v>23</v>
      </c>
      <c r="F1436" t="s">
        <v>30</v>
      </c>
      <c r="G1436" t="s">
        <v>28</v>
      </c>
    </row>
    <row r="1437" spans="1:7" x14ac:dyDescent="0.25">
      <c r="A1437" t="s">
        <v>60</v>
      </c>
      <c r="B1437" s="2">
        <v>17</v>
      </c>
      <c r="C1437" s="2">
        <v>2</v>
      </c>
      <c r="D1437" s="1">
        <v>2</v>
      </c>
      <c r="E1437" t="s">
        <v>23</v>
      </c>
      <c r="F1437" t="s">
        <v>43</v>
      </c>
      <c r="G1437" t="s">
        <v>28</v>
      </c>
    </row>
    <row r="1438" spans="1:7" x14ac:dyDescent="0.25">
      <c r="A1438" t="s">
        <v>11</v>
      </c>
      <c r="B1438" s="2">
        <v>1250</v>
      </c>
      <c r="C1438" s="2">
        <v>-12</v>
      </c>
      <c r="D1438" s="1">
        <v>2</v>
      </c>
      <c r="E1438" t="s">
        <v>8</v>
      </c>
      <c r="F1438" t="s">
        <v>18</v>
      </c>
      <c r="G1438" t="s">
        <v>14</v>
      </c>
    </row>
    <row r="1439" spans="1:7" x14ac:dyDescent="0.25">
      <c r="A1439" t="s">
        <v>39</v>
      </c>
      <c r="B1439" s="2">
        <v>17</v>
      </c>
      <c r="C1439" s="2">
        <v>-11</v>
      </c>
      <c r="D1439" s="1">
        <v>3</v>
      </c>
      <c r="E1439" t="s">
        <v>23</v>
      </c>
      <c r="F1439" t="s">
        <v>43</v>
      </c>
      <c r="G1439" t="s">
        <v>28</v>
      </c>
    </row>
    <row r="1440" spans="1:7" x14ac:dyDescent="0.25">
      <c r="A1440" t="s">
        <v>385</v>
      </c>
      <c r="B1440" s="2">
        <v>977</v>
      </c>
      <c r="C1440" s="2">
        <v>-244</v>
      </c>
      <c r="D1440" s="1">
        <v>7</v>
      </c>
      <c r="E1440" t="s">
        <v>8</v>
      </c>
      <c r="F1440" t="s">
        <v>21</v>
      </c>
      <c r="G1440" t="s">
        <v>10</v>
      </c>
    </row>
    <row r="1441" spans="1:7" x14ac:dyDescent="0.25">
      <c r="A1441" t="s">
        <v>527</v>
      </c>
      <c r="B1441" s="2">
        <v>1246</v>
      </c>
      <c r="C1441" s="2">
        <v>62</v>
      </c>
      <c r="D1441" s="1">
        <v>3</v>
      </c>
      <c r="E1441" t="s">
        <v>12</v>
      </c>
      <c r="F1441" t="s">
        <v>16</v>
      </c>
      <c r="G1441" t="s">
        <v>14</v>
      </c>
    </row>
    <row r="1442" spans="1:7" x14ac:dyDescent="0.25">
      <c r="A1442" t="s">
        <v>300</v>
      </c>
      <c r="B1442" s="2">
        <v>12</v>
      </c>
      <c r="C1442" s="2">
        <v>1</v>
      </c>
      <c r="D1442" s="1">
        <v>2</v>
      </c>
      <c r="E1442" t="s">
        <v>23</v>
      </c>
      <c r="F1442" t="s">
        <v>30</v>
      </c>
      <c r="G1442" t="s">
        <v>10</v>
      </c>
    </row>
    <row r="1443" spans="1:7" x14ac:dyDescent="0.25">
      <c r="A1443" t="s">
        <v>119</v>
      </c>
      <c r="B1443" s="2">
        <v>11</v>
      </c>
      <c r="C1443" s="2">
        <v>-4</v>
      </c>
      <c r="D1443" s="1">
        <v>2</v>
      </c>
      <c r="E1443" t="s">
        <v>23</v>
      </c>
      <c r="F1443" t="s">
        <v>43</v>
      </c>
      <c r="G1443" t="s">
        <v>10</v>
      </c>
    </row>
    <row r="1444" spans="1:7" x14ac:dyDescent="0.25">
      <c r="A1444" t="s">
        <v>117</v>
      </c>
      <c r="B1444" s="2">
        <v>1327</v>
      </c>
      <c r="C1444" s="2">
        <v>318</v>
      </c>
      <c r="D1444" s="1">
        <v>8</v>
      </c>
      <c r="E1444" t="s">
        <v>12</v>
      </c>
      <c r="F1444" t="s">
        <v>13</v>
      </c>
      <c r="G1444" t="s">
        <v>14</v>
      </c>
    </row>
    <row r="1445" spans="1:7" x14ac:dyDescent="0.25">
      <c r="A1445" t="s">
        <v>171</v>
      </c>
      <c r="B1445" s="2">
        <v>1319</v>
      </c>
      <c r="C1445" s="2">
        <v>567</v>
      </c>
      <c r="D1445" s="1">
        <v>5</v>
      </c>
      <c r="E1445" t="s">
        <v>8</v>
      </c>
      <c r="F1445" t="s">
        <v>18</v>
      </c>
      <c r="G1445" t="s">
        <v>10</v>
      </c>
    </row>
    <row r="1446" spans="1:7" x14ac:dyDescent="0.25">
      <c r="A1446" t="s">
        <v>307</v>
      </c>
      <c r="B1446" s="2">
        <v>1402</v>
      </c>
      <c r="C1446" s="2">
        <v>109</v>
      </c>
      <c r="D1446" s="1">
        <v>11</v>
      </c>
      <c r="E1446" t="s">
        <v>23</v>
      </c>
      <c r="F1446" t="s">
        <v>26</v>
      </c>
      <c r="G1446" t="s">
        <v>14</v>
      </c>
    </row>
    <row r="1447" spans="1:7" x14ac:dyDescent="0.25">
      <c r="A1447" t="s">
        <v>253</v>
      </c>
      <c r="B1447" s="2">
        <v>1514</v>
      </c>
      <c r="C1447" s="2">
        <v>742</v>
      </c>
      <c r="D1447" s="1">
        <v>4</v>
      </c>
      <c r="E1447" t="s">
        <v>8</v>
      </c>
      <c r="F1447" t="s">
        <v>18</v>
      </c>
      <c r="G1447" t="s">
        <v>14</v>
      </c>
    </row>
    <row r="1448" spans="1:7" x14ac:dyDescent="0.25">
      <c r="A1448" t="s">
        <v>22</v>
      </c>
      <c r="B1448" s="2">
        <v>1351</v>
      </c>
      <c r="C1448" s="2">
        <v>111</v>
      </c>
      <c r="D1448" s="1">
        <v>6</v>
      </c>
      <c r="E1448" t="s">
        <v>8</v>
      </c>
      <c r="F1448" t="s">
        <v>9</v>
      </c>
      <c r="G1448" t="s">
        <v>10</v>
      </c>
    </row>
    <row r="1449" spans="1:7" x14ac:dyDescent="0.25">
      <c r="A1449" t="s">
        <v>149</v>
      </c>
      <c r="B1449" s="2">
        <v>1355</v>
      </c>
      <c r="C1449" s="2">
        <v>-60</v>
      </c>
      <c r="D1449" s="1">
        <v>5</v>
      </c>
      <c r="E1449" t="s">
        <v>23</v>
      </c>
      <c r="F1449" t="s">
        <v>24</v>
      </c>
      <c r="G1449" t="s">
        <v>10</v>
      </c>
    </row>
    <row r="1450" spans="1:7" x14ac:dyDescent="0.25">
      <c r="A1450" t="s">
        <v>31</v>
      </c>
      <c r="B1450" s="2">
        <v>10</v>
      </c>
      <c r="C1450" s="2">
        <v>2</v>
      </c>
      <c r="D1450" s="1">
        <v>2</v>
      </c>
      <c r="E1450" t="s">
        <v>23</v>
      </c>
      <c r="F1450" t="s">
        <v>30</v>
      </c>
      <c r="G1450" t="s">
        <v>10</v>
      </c>
    </row>
    <row r="1451" spans="1:7" x14ac:dyDescent="0.25">
      <c r="A1451" t="s">
        <v>59</v>
      </c>
      <c r="B1451" s="2">
        <v>10</v>
      </c>
      <c r="C1451" s="2">
        <v>-2</v>
      </c>
      <c r="D1451" s="1">
        <v>2</v>
      </c>
      <c r="E1451" t="s">
        <v>23</v>
      </c>
      <c r="F1451" t="s">
        <v>63</v>
      </c>
      <c r="G1451" t="s">
        <v>10</v>
      </c>
    </row>
    <row r="1452" spans="1:7" x14ac:dyDescent="0.25">
      <c r="A1452" t="s">
        <v>528</v>
      </c>
      <c r="B1452" s="2">
        <v>1582</v>
      </c>
      <c r="C1452" s="2">
        <v>-443</v>
      </c>
      <c r="D1452" s="1">
        <v>6</v>
      </c>
      <c r="E1452" t="s">
        <v>23</v>
      </c>
      <c r="F1452" t="s">
        <v>24</v>
      </c>
      <c r="G1452" t="s">
        <v>14</v>
      </c>
    </row>
    <row r="1453" spans="1:7" x14ac:dyDescent="0.25">
      <c r="A1453" t="s">
        <v>132</v>
      </c>
      <c r="B1453" s="2">
        <v>1218</v>
      </c>
      <c r="C1453" s="2">
        <v>352</v>
      </c>
      <c r="D1453" s="1">
        <v>9</v>
      </c>
      <c r="E1453" t="s">
        <v>12</v>
      </c>
      <c r="F1453" t="s">
        <v>16</v>
      </c>
      <c r="G1453" t="s">
        <v>14</v>
      </c>
    </row>
    <row r="1454" spans="1:7" x14ac:dyDescent="0.25">
      <c r="A1454" t="s">
        <v>67</v>
      </c>
      <c r="B1454" s="2">
        <v>321</v>
      </c>
      <c r="C1454" s="2">
        <v>315</v>
      </c>
      <c r="D1454" s="1">
        <v>5</v>
      </c>
      <c r="E1454" t="s">
        <v>23</v>
      </c>
      <c r="F1454" t="s">
        <v>26</v>
      </c>
      <c r="G1454" t="s">
        <v>28</v>
      </c>
    </row>
    <row r="1455" spans="1:7" x14ac:dyDescent="0.25">
      <c r="A1455" t="s">
        <v>207</v>
      </c>
      <c r="B1455" s="2">
        <v>736</v>
      </c>
      <c r="C1455" s="2">
        <v>346</v>
      </c>
      <c r="D1455" s="1">
        <v>5</v>
      </c>
      <c r="E1455" t="s">
        <v>8</v>
      </c>
      <c r="F1455" t="s">
        <v>18</v>
      </c>
      <c r="G1455" t="s">
        <v>10</v>
      </c>
    </row>
    <row r="1456" spans="1:7" x14ac:dyDescent="0.25">
      <c r="A1456" t="s">
        <v>11</v>
      </c>
      <c r="B1456" s="2">
        <v>1218</v>
      </c>
      <c r="C1456" s="2">
        <v>-420</v>
      </c>
      <c r="D1456" s="1">
        <v>8</v>
      </c>
      <c r="E1456" t="s">
        <v>12</v>
      </c>
      <c r="F1456" t="s">
        <v>16</v>
      </c>
      <c r="G1456" t="s">
        <v>10</v>
      </c>
    </row>
    <row r="1457" spans="1:7" x14ac:dyDescent="0.25">
      <c r="A1457" t="s">
        <v>171</v>
      </c>
      <c r="B1457" s="2">
        <v>1027</v>
      </c>
      <c r="C1457" s="2">
        <v>441</v>
      </c>
      <c r="D1457" s="1">
        <v>8</v>
      </c>
      <c r="E1457" t="s">
        <v>23</v>
      </c>
      <c r="F1457" t="s">
        <v>26</v>
      </c>
      <c r="G1457" t="s">
        <v>10</v>
      </c>
    </row>
    <row r="1458" spans="1:7" x14ac:dyDescent="0.25">
      <c r="A1458" t="s">
        <v>255</v>
      </c>
      <c r="B1458" s="2">
        <v>10</v>
      </c>
      <c r="C1458" s="2">
        <v>5</v>
      </c>
      <c r="D1458" s="1">
        <v>1</v>
      </c>
      <c r="E1458" t="s">
        <v>23</v>
      </c>
      <c r="F1458" t="s">
        <v>57</v>
      </c>
      <c r="G1458" t="s">
        <v>10</v>
      </c>
    </row>
    <row r="1459" spans="1:7" x14ac:dyDescent="0.25">
      <c r="A1459" t="s">
        <v>458</v>
      </c>
      <c r="B1459" s="2">
        <v>2366</v>
      </c>
      <c r="C1459" s="2">
        <v>552</v>
      </c>
      <c r="D1459" s="1">
        <v>5</v>
      </c>
      <c r="E1459" t="s">
        <v>23</v>
      </c>
      <c r="F1459" t="s">
        <v>24</v>
      </c>
      <c r="G1459" t="s">
        <v>28</v>
      </c>
    </row>
    <row r="1460" spans="1:7" x14ac:dyDescent="0.25">
      <c r="A1460" t="s">
        <v>308</v>
      </c>
      <c r="B1460" s="2">
        <v>9</v>
      </c>
      <c r="C1460" s="2">
        <v>-6</v>
      </c>
      <c r="D1460" s="1">
        <v>2</v>
      </c>
      <c r="E1460" t="s">
        <v>23</v>
      </c>
      <c r="F1460" t="s">
        <v>30</v>
      </c>
      <c r="G1460" t="s">
        <v>10</v>
      </c>
    </row>
    <row r="1461" spans="1:7" x14ac:dyDescent="0.25">
      <c r="A1461" t="s">
        <v>66</v>
      </c>
      <c r="B1461" s="2">
        <v>16</v>
      </c>
      <c r="C1461" s="2">
        <v>-12</v>
      </c>
      <c r="D1461" s="1">
        <v>2</v>
      </c>
      <c r="E1461" t="s">
        <v>23</v>
      </c>
      <c r="F1461" t="s">
        <v>57</v>
      </c>
      <c r="G1461" t="s">
        <v>28</v>
      </c>
    </row>
    <row r="1462" spans="1:7" x14ac:dyDescent="0.25">
      <c r="A1462" t="s">
        <v>458</v>
      </c>
      <c r="B1462" s="2">
        <v>9</v>
      </c>
      <c r="C1462" s="2">
        <v>3</v>
      </c>
      <c r="D1462" s="1">
        <v>1</v>
      </c>
      <c r="E1462" t="s">
        <v>23</v>
      </c>
      <c r="F1462" t="s">
        <v>43</v>
      </c>
      <c r="G1462" t="s">
        <v>10</v>
      </c>
    </row>
    <row r="1463" spans="1:7" x14ac:dyDescent="0.25">
      <c r="A1463" t="s">
        <v>529</v>
      </c>
      <c r="B1463" s="2">
        <v>1560</v>
      </c>
      <c r="C1463" s="2">
        <v>421</v>
      </c>
      <c r="D1463" s="1">
        <v>3</v>
      </c>
      <c r="E1463" t="s">
        <v>23</v>
      </c>
      <c r="F1463" t="s">
        <v>24</v>
      </c>
      <c r="G1463" t="s">
        <v>10</v>
      </c>
    </row>
    <row r="1464" spans="1:7" x14ac:dyDescent="0.25">
      <c r="A1464" t="s">
        <v>196</v>
      </c>
      <c r="B1464" s="2">
        <v>1137</v>
      </c>
      <c r="C1464" s="2">
        <v>568</v>
      </c>
      <c r="D1464" s="1">
        <v>2</v>
      </c>
      <c r="E1464" t="s">
        <v>23</v>
      </c>
      <c r="F1464" t="s">
        <v>24</v>
      </c>
      <c r="G1464" t="s">
        <v>14</v>
      </c>
    </row>
    <row r="1465" spans="1:7" x14ac:dyDescent="0.25">
      <c r="A1465" t="s">
        <v>284</v>
      </c>
      <c r="B1465" s="2">
        <v>9</v>
      </c>
      <c r="C1465" s="2">
        <v>-9</v>
      </c>
      <c r="D1465" s="1">
        <v>2</v>
      </c>
      <c r="E1465" t="s">
        <v>23</v>
      </c>
      <c r="F1465" t="s">
        <v>32</v>
      </c>
      <c r="G1465" t="s">
        <v>10</v>
      </c>
    </row>
    <row r="1466" spans="1:7" x14ac:dyDescent="0.25">
      <c r="A1466" t="s">
        <v>42</v>
      </c>
      <c r="B1466" s="2">
        <v>15</v>
      </c>
      <c r="C1466" s="2">
        <v>-7</v>
      </c>
      <c r="D1466" s="1">
        <v>1</v>
      </c>
      <c r="E1466" t="s">
        <v>23</v>
      </c>
      <c r="F1466" t="s">
        <v>30</v>
      </c>
      <c r="G1466" t="s">
        <v>28</v>
      </c>
    </row>
    <row r="1467" spans="1:7" x14ac:dyDescent="0.25">
      <c r="A1467" t="s">
        <v>61</v>
      </c>
      <c r="B1467" s="2">
        <v>14</v>
      </c>
      <c r="C1467" s="2">
        <v>5</v>
      </c>
      <c r="D1467" s="1">
        <v>1</v>
      </c>
      <c r="E1467" t="s">
        <v>23</v>
      </c>
      <c r="F1467" t="s">
        <v>30</v>
      </c>
      <c r="G1467" t="s">
        <v>28</v>
      </c>
    </row>
    <row r="1468" spans="1:7" x14ac:dyDescent="0.25">
      <c r="A1468" t="s">
        <v>169</v>
      </c>
      <c r="B1468" s="2">
        <v>14</v>
      </c>
      <c r="C1468" s="2">
        <v>7</v>
      </c>
      <c r="D1468" s="1">
        <v>2</v>
      </c>
      <c r="E1468" t="s">
        <v>23</v>
      </c>
      <c r="F1468" t="s">
        <v>30</v>
      </c>
      <c r="G1468" t="s">
        <v>28</v>
      </c>
    </row>
    <row r="1469" spans="1:7" x14ac:dyDescent="0.25">
      <c r="A1469" t="s">
        <v>127</v>
      </c>
      <c r="B1469" s="2">
        <v>8</v>
      </c>
      <c r="C1469" s="2">
        <v>-2</v>
      </c>
      <c r="D1469" s="1">
        <v>2</v>
      </c>
      <c r="E1469" t="s">
        <v>23</v>
      </c>
      <c r="F1469" t="s">
        <v>30</v>
      </c>
      <c r="G1469" t="s">
        <v>10</v>
      </c>
    </row>
    <row r="1470" spans="1:7" x14ac:dyDescent="0.25">
      <c r="A1470" t="s">
        <v>123</v>
      </c>
      <c r="B1470" s="2">
        <v>1389</v>
      </c>
      <c r="C1470" s="2">
        <v>680</v>
      </c>
      <c r="D1470" s="1">
        <v>7</v>
      </c>
      <c r="E1470" t="s">
        <v>23</v>
      </c>
      <c r="F1470" t="s">
        <v>26</v>
      </c>
      <c r="G1470" t="s">
        <v>10</v>
      </c>
    </row>
    <row r="1471" spans="1:7" x14ac:dyDescent="0.25">
      <c r="A1471" t="s">
        <v>326</v>
      </c>
      <c r="B1471" s="2">
        <v>8</v>
      </c>
      <c r="C1471" s="2">
        <v>-1</v>
      </c>
      <c r="D1471" s="1">
        <v>2</v>
      </c>
      <c r="E1471" t="s">
        <v>23</v>
      </c>
      <c r="F1471" t="s">
        <v>63</v>
      </c>
      <c r="G1471" t="s">
        <v>10</v>
      </c>
    </row>
    <row r="1472" spans="1:7" x14ac:dyDescent="0.25">
      <c r="A1472" t="s">
        <v>530</v>
      </c>
      <c r="B1472" s="2">
        <v>8</v>
      </c>
      <c r="C1472" s="2">
        <v>-2</v>
      </c>
      <c r="D1472" s="1">
        <v>1</v>
      </c>
      <c r="E1472" t="s">
        <v>23</v>
      </c>
      <c r="F1472" t="s">
        <v>57</v>
      </c>
      <c r="G1472" t="s">
        <v>10</v>
      </c>
    </row>
    <row r="1473" spans="1:7" x14ac:dyDescent="0.25">
      <c r="A1473" t="s">
        <v>46</v>
      </c>
      <c r="B1473" s="2">
        <v>13</v>
      </c>
      <c r="C1473" s="2">
        <v>4</v>
      </c>
      <c r="D1473" s="1">
        <v>1</v>
      </c>
      <c r="E1473" t="s">
        <v>23</v>
      </c>
      <c r="F1473" t="s">
        <v>63</v>
      </c>
      <c r="G1473" t="s">
        <v>28</v>
      </c>
    </row>
    <row r="1474" spans="1:7" x14ac:dyDescent="0.25">
      <c r="A1474" t="s">
        <v>531</v>
      </c>
      <c r="B1474" s="2">
        <v>8</v>
      </c>
      <c r="C1474" s="2">
        <v>-6</v>
      </c>
      <c r="D1474" s="1">
        <v>1</v>
      </c>
      <c r="E1474" t="s">
        <v>23</v>
      </c>
      <c r="F1474" t="s">
        <v>57</v>
      </c>
      <c r="G1474" t="s">
        <v>10</v>
      </c>
    </row>
    <row r="1475" spans="1:7" x14ac:dyDescent="0.25">
      <c r="A1475" t="s">
        <v>71</v>
      </c>
      <c r="B1475" s="2">
        <v>12</v>
      </c>
      <c r="C1475" s="2">
        <v>2</v>
      </c>
      <c r="D1475" s="1">
        <v>2</v>
      </c>
      <c r="E1475" t="s">
        <v>23</v>
      </c>
      <c r="F1475" t="s">
        <v>43</v>
      </c>
      <c r="G1475" t="s">
        <v>19</v>
      </c>
    </row>
    <row r="1476" spans="1:7" x14ac:dyDescent="0.25">
      <c r="A1476" t="s">
        <v>15</v>
      </c>
      <c r="B1476" s="2">
        <v>1716</v>
      </c>
      <c r="C1476" s="2">
        <v>309</v>
      </c>
      <c r="D1476" s="1">
        <v>7</v>
      </c>
      <c r="E1476" t="s">
        <v>8</v>
      </c>
      <c r="F1476" t="s">
        <v>73</v>
      </c>
      <c r="G1476" t="s">
        <v>10</v>
      </c>
    </row>
    <row r="1477" spans="1:7" x14ac:dyDescent="0.25">
      <c r="A1477" t="s">
        <v>285</v>
      </c>
      <c r="B1477" s="2">
        <v>1117</v>
      </c>
      <c r="C1477" s="2">
        <v>447</v>
      </c>
      <c r="D1477" s="1">
        <v>10</v>
      </c>
      <c r="E1477" t="s">
        <v>12</v>
      </c>
      <c r="F1477" t="s">
        <v>16</v>
      </c>
      <c r="G1477" t="s">
        <v>14</v>
      </c>
    </row>
    <row r="1478" spans="1:7" x14ac:dyDescent="0.25">
      <c r="A1478" t="s">
        <v>38</v>
      </c>
      <c r="B1478" s="2">
        <v>9</v>
      </c>
      <c r="C1478" s="2">
        <v>-6</v>
      </c>
      <c r="D1478" s="1">
        <v>2</v>
      </c>
      <c r="E1478" t="s">
        <v>23</v>
      </c>
      <c r="F1478" t="s">
        <v>43</v>
      </c>
      <c r="G1478" t="s">
        <v>19</v>
      </c>
    </row>
    <row r="1479" spans="1:7" x14ac:dyDescent="0.25">
      <c r="A1479" t="s">
        <v>53</v>
      </c>
      <c r="B1479" s="2">
        <v>332</v>
      </c>
      <c r="C1479" s="2">
        <v>503</v>
      </c>
      <c r="D1479" s="1">
        <v>3</v>
      </c>
      <c r="E1479" t="s">
        <v>8</v>
      </c>
      <c r="F1479" t="s">
        <v>18</v>
      </c>
      <c r="G1479" t="s">
        <v>10</v>
      </c>
    </row>
    <row r="1480" spans="1:7" x14ac:dyDescent="0.25">
      <c r="A1480" t="s">
        <v>38</v>
      </c>
      <c r="B1480" s="2">
        <v>7</v>
      </c>
      <c r="C1480" s="2">
        <v>-4</v>
      </c>
      <c r="D1480" s="1">
        <v>3</v>
      </c>
      <c r="E1480" t="s">
        <v>23</v>
      </c>
      <c r="F1480" t="s">
        <v>30</v>
      </c>
      <c r="G1480" t="s">
        <v>10</v>
      </c>
    </row>
    <row r="1481" spans="1:7" x14ac:dyDescent="0.25">
      <c r="A1481" t="s">
        <v>346</v>
      </c>
      <c r="B1481" s="2">
        <v>8</v>
      </c>
      <c r="C1481" s="2">
        <v>-2</v>
      </c>
      <c r="D1481" s="1">
        <v>3</v>
      </c>
      <c r="E1481" t="s">
        <v>23</v>
      </c>
      <c r="F1481" t="s">
        <v>30</v>
      </c>
      <c r="G1481" t="s">
        <v>19</v>
      </c>
    </row>
    <row r="1482" spans="1:7" x14ac:dyDescent="0.25">
      <c r="A1482" t="s">
        <v>395</v>
      </c>
      <c r="B1482" s="2">
        <v>2061</v>
      </c>
      <c r="C1482" s="2">
        <v>701</v>
      </c>
      <c r="D1482" s="1">
        <v>5</v>
      </c>
      <c r="E1482" t="s">
        <v>12</v>
      </c>
      <c r="F1482" t="s">
        <v>16</v>
      </c>
      <c r="G1482" t="s">
        <v>28</v>
      </c>
    </row>
    <row r="1483" spans="1:7" x14ac:dyDescent="0.25">
      <c r="A1483" t="s">
        <v>470</v>
      </c>
      <c r="B1483" s="2">
        <v>1103</v>
      </c>
      <c r="C1483" s="2">
        <v>276</v>
      </c>
      <c r="D1483" s="1">
        <v>3</v>
      </c>
      <c r="E1483" t="s">
        <v>12</v>
      </c>
      <c r="F1483" t="s">
        <v>13</v>
      </c>
      <c r="G1483" t="s">
        <v>14</v>
      </c>
    </row>
    <row r="1484" spans="1:7" x14ac:dyDescent="0.25">
      <c r="A1484" t="s">
        <v>310</v>
      </c>
      <c r="B1484" s="2">
        <v>2103</v>
      </c>
      <c r="C1484" s="2">
        <v>322</v>
      </c>
      <c r="D1484" s="1">
        <v>8</v>
      </c>
      <c r="E1484" t="s">
        <v>8</v>
      </c>
      <c r="F1484" t="s">
        <v>9</v>
      </c>
      <c r="G1484" t="s">
        <v>28</v>
      </c>
    </row>
    <row r="1485" spans="1:7" x14ac:dyDescent="0.25">
      <c r="A1485" t="s">
        <v>22</v>
      </c>
      <c r="B1485" s="2">
        <v>2115</v>
      </c>
      <c r="C1485" s="2">
        <v>23</v>
      </c>
      <c r="D1485" s="1">
        <v>5</v>
      </c>
      <c r="E1485" t="s">
        <v>12</v>
      </c>
      <c r="F1485" t="s">
        <v>13</v>
      </c>
      <c r="G1485" t="s">
        <v>10</v>
      </c>
    </row>
    <row r="1486" spans="1:7" x14ac:dyDescent="0.25">
      <c r="A1486" t="s">
        <v>44</v>
      </c>
      <c r="B1486" s="2">
        <v>850</v>
      </c>
      <c r="C1486" s="2">
        <v>-289</v>
      </c>
      <c r="D1486" s="1">
        <v>5</v>
      </c>
      <c r="E1486" t="s">
        <v>8</v>
      </c>
      <c r="F1486" t="s">
        <v>9</v>
      </c>
      <c r="G1486" t="s">
        <v>10</v>
      </c>
    </row>
    <row r="1487" spans="1:7" x14ac:dyDescent="0.25">
      <c r="A1487" t="s">
        <v>50</v>
      </c>
      <c r="B1487" s="2">
        <v>1063</v>
      </c>
      <c r="C1487" s="2">
        <v>64</v>
      </c>
      <c r="D1487" s="1">
        <v>7</v>
      </c>
      <c r="E1487" t="s">
        <v>8</v>
      </c>
      <c r="F1487" t="s">
        <v>21</v>
      </c>
      <c r="G1487" t="s">
        <v>14</v>
      </c>
    </row>
    <row r="1488" spans="1:7" x14ac:dyDescent="0.25">
      <c r="A1488" t="s">
        <v>478</v>
      </c>
      <c r="B1488" s="2">
        <v>1063</v>
      </c>
      <c r="C1488" s="2">
        <v>-175</v>
      </c>
      <c r="D1488" s="1">
        <v>4</v>
      </c>
      <c r="E1488" t="s">
        <v>8</v>
      </c>
      <c r="F1488" t="s">
        <v>9</v>
      </c>
      <c r="G1488" t="s">
        <v>14</v>
      </c>
    </row>
    <row r="1489" spans="1:7" x14ac:dyDescent="0.25">
      <c r="A1489" t="s">
        <v>321</v>
      </c>
      <c r="B1489" s="2">
        <v>2292</v>
      </c>
      <c r="C1489" s="2">
        <v>127</v>
      </c>
      <c r="D1489" s="1">
        <v>7</v>
      </c>
      <c r="E1489" t="s">
        <v>12</v>
      </c>
      <c r="F1489" t="s">
        <v>16</v>
      </c>
      <c r="G1489" t="s">
        <v>10</v>
      </c>
    </row>
    <row r="1490" spans="1:7" x14ac:dyDescent="0.25">
      <c r="A1490" t="s">
        <v>290</v>
      </c>
      <c r="B1490" s="2">
        <v>7</v>
      </c>
      <c r="C1490" s="2">
        <v>-1</v>
      </c>
      <c r="D1490" s="1">
        <v>2</v>
      </c>
      <c r="E1490" t="s">
        <v>23</v>
      </c>
      <c r="F1490" t="s">
        <v>30</v>
      </c>
      <c r="G1490" t="s">
        <v>19</v>
      </c>
    </row>
    <row r="1491" spans="1:7" x14ac:dyDescent="0.25">
      <c r="A1491" t="s">
        <v>436</v>
      </c>
      <c r="B1491" s="2">
        <v>2452</v>
      </c>
      <c r="C1491" s="2">
        <v>191</v>
      </c>
      <c r="D1491" s="1">
        <v>7</v>
      </c>
      <c r="E1491" t="s">
        <v>12</v>
      </c>
      <c r="F1491" t="s">
        <v>16</v>
      </c>
      <c r="G1491" t="s">
        <v>28</v>
      </c>
    </row>
    <row r="1492" spans="1:7" x14ac:dyDescent="0.25">
      <c r="A1492" t="s">
        <v>187</v>
      </c>
      <c r="B1492" s="2">
        <v>2457</v>
      </c>
      <c r="C1492" s="2">
        <v>665</v>
      </c>
      <c r="D1492" s="1">
        <v>11</v>
      </c>
      <c r="E1492" t="s">
        <v>8</v>
      </c>
      <c r="F1492" t="s">
        <v>9</v>
      </c>
      <c r="G1492" t="s">
        <v>14</v>
      </c>
    </row>
    <row r="1493" spans="1:7" x14ac:dyDescent="0.25">
      <c r="A1493" t="s">
        <v>99</v>
      </c>
      <c r="B1493" s="2">
        <v>4</v>
      </c>
      <c r="C1493" s="2">
        <v>-3</v>
      </c>
      <c r="D1493" s="1">
        <v>1</v>
      </c>
      <c r="E1493" t="s">
        <v>23</v>
      </c>
      <c r="F1493" t="s">
        <v>43</v>
      </c>
      <c r="G1493" t="s">
        <v>19</v>
      </c>
    </row>
    <row r="1494" spans="1:7" x14ac:dyDescent="0.25">
      <c r="A1494" t="s">
        <v>208</v>
      </c>
      <c r="B1494" s="2">
        <v>2830</v>
      </c>
      <c r="C1494" s="2">
        <v>-1981</v>
      </c>
      <c r="D1494" s="1">
        <v>13</v>
      </c>
      <c r="E1494" t="s">
        <v>12</v>
      </c>
      <c r="F1494" t="s">
        <v>16</v>
      </c>
      <c r="G1494" t="s">
        <v>14</v>
      </c>
    </row>
    <row r="1495" spans="1:7" x14ac:dyDescent="0.25">
      <c r="A1495" t="s">
        <v>186</v>
      </c>
      <c r="B1495" s="2">
        <v>7</v>
      </c>
      <c r="C1495" s="2">
        <v>1</v>
      </c>
      <c r="D1495" s="1">
        <v>1</v>
      </c>
      <c r="E1495" t="s">
        <v>23</v>
      </c>
      <c r="F1495" t="s">
        <v>30</v>
      </c>
      <c r="G1495" t="s">
        <v>10</v>
      </c>
    </row>
    <row r="1496" spans="1:7" x14ac:dyDescent="0.25">
      <c r="A1496" t="s">
        <v>438</v>
      </c>
      <c r="B1496" s="2">
        <v>7</v>
      </c>
      <c r="C1496" s="2">
        <v>0</v>
      </c>
      <c r="D1496" s="1">
        <v>2</v>
      </c>
      <c r="E1496" t="s">
        <v>23</v>
      </c>
      <c r="F1496" t="s">
        <v>43</v>
      </c>
      <c r="G1496" t="s">
        <v>10</v>
      </c>
    </row>
    <row r="1497" spans="1:7" x14ac:dyDescent="0.25">
      <c r="A1497" t="s">
        <v>268</v>
      </c>
      <c r="B1497" s="2">
        <v>7</v>
      </c>
      <c r="C1497" s="2">
        <v>-3</v>
      </c>
      <c r="D1497" s="1">
        <v>2</v>
      </c>
      <c r="E1497" t="s">
        <v>23</v>
      </c>
      <c r="F1497" t="s">
        <v>30</v>
      </c>
      <c r="G1497" t="s">
        <v>10</v>
      </c>
    </row>
    <row r="1498" spans="1:7" x14ac:dyDescent="0.25">
      <c r="A1498" t="s">
        <v>104</v>
      </c>
      <c r="B1498" s="2">
        <v>3151</v>
      </c>
      <c r="C1498" s="2">
        <v>-35</v>
      </c>
      <c r="D1498" s="1">
        <v>7</v>
      </c>
      <c r="E1498" t="s">
        <v>23</v>
      </c>
      <c r="F1498" t="s">
        <v>24</v>
      </c>
      <c r="G1498" t="s">
        <v>14</v>
      </c>
    </row>
    <row r="1499" spans="1:7" x14ac:dyDescent="0.25">
      <c r="A1499" t="s">
        <v>225</v>
      </c>
      <c r="B1499" s="2">
        <v>4141</v>
      </c>
      <c r="C1499" s="2">
        <v>1698</v>
      </c>
      <c r="D1499" s="1">
        <v>13</v>
      </c>
      <c r="E1499" t="s">
        <v>8</v>
      </c>
      <c r="F1499" t="s">
        <v>18</v>
      </c>
      <c r="G1499" t="s">
        <v>10</v>
      </c>
    </row>
    <row r="1500" spans="1:7" x14ac:dyDescent="0.25">
      <c r="A1500" t="s">
        <v>182</v>
      </c>
      <c r="B1500" s="2">
        <v>7</v>
      </c>
      <c r="C1500" s="2">
        <v>-2</v>
      </c>
      <c r="D1500" s="1">
        <v>1</v>
      </c>
      <c r="E1500" t="s">
        <v>23</v>
      </c>
      <c r="F1500" t="s">
        <v>30</v>
      </c>
      <c r="G1500" t="s">
        <v>10</v>
      </c>
    </row>
    <row r="1501" spans="1:7" x14ac:dyDescent="0.25">
      <c r="A1501" t="s">
        <v>164</v>
      </c>
      <c r="B1501" s="2">
        <v>4363</v>
      </c>
      <c r="C1501" s="2">
        <v>305</v>
      </c>
      <c r="D1501" s="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448F-944E-467C-A497-A8D2D799D35C}">
  <dimension ref="A1:G150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2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2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2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2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2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2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2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2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2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2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2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2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2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2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2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2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2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2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2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2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2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2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2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2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2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2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2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2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2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2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2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2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2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2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2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2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2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2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2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2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2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2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2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2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2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2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2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2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2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2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2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2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2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2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2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2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2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2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2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2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2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2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2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2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2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2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2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2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2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2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2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2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2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2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2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2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2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2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2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2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2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2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2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2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2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2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2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2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2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2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2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2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2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2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2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2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2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2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2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2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2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2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2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2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2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2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2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2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2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2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2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2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2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2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2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2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2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2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2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2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2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2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2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2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2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2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2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2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2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2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2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2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2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2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2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2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2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2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2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2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2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2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2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2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2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2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2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2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2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2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2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2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2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2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2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2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2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2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2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2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2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2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2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2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2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2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2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2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2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2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2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2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2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2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2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2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2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2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2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2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2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2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2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2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2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2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2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2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2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2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2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2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2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2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2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2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2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2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2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2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2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2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2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2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2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2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2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2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2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2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2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2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2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2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2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2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2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2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2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2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2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2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2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2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2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2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2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2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2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2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2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2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2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2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2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2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2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2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2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2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2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2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2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2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2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2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2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2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2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2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2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2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2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2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2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2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2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2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2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2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2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2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2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2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2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2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2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2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2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2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2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2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2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2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2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2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2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2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2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2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2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2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2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2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2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2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2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2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2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2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2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2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2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2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2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2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2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2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2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2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2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2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2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2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2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2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2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2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2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2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2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2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2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2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2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2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2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2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2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2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2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2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2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2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2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2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2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2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2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2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2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2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2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2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2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2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2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2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2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2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2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2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2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2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2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2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2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2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2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2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2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2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2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2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2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2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2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2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2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2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2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2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2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2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2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2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2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2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2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2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2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2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2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2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2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2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2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2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2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2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2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2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2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2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2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2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2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2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2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2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2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2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2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2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2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2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2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2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2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2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2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2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2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2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2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2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2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2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2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2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2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2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2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2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2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2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2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2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2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2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2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2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2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2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2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2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2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2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2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2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2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2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2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2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2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2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2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2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2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2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2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2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2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2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2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2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2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2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2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2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2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2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2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2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2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2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2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2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2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2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2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2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2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2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2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2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2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2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2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2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2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2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2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2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2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2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2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2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2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2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2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2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2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2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2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2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2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2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2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2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2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2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2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2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2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2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2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2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2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2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2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2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2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2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2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2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2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2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2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2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2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2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2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2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2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2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2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2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2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2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2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2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2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2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2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2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2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2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2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2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2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2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2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2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2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2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2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2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2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2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2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2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2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2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2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2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2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2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2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2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2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2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2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2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2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2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2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2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2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2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2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2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2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2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2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2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2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2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2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2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2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2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2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2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2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2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2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2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2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2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2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2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2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2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2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2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2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2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2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2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2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2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2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2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2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2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2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2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2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2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2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2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2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2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2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2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2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2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2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2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2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2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2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2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2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2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2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2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2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2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2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2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2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2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2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2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2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2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2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2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2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2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2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2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2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2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2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2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2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2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2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2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2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2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2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2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2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2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2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2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2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2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2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2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2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2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2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2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2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2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2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2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2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2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2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2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2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2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2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2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2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2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2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2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2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2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2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2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2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2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2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2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2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2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2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2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2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2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2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2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2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2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2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2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2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2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2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2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2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2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2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2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2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2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2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2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2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2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2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2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2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2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2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2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2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2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2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2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2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2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2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2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2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2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2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2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2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2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2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2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2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2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2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2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2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2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2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2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2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2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2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2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2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2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2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2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2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2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2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2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2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2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2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2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2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2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2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2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2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2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2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2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2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2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2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2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2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2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2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2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2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2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2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2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2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2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2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2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2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2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2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2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2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2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2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2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2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2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2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2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2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2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2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2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2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2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2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2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2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2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2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2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2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2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2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2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2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2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2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2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2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2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2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2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2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2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2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2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2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2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2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2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2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2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2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2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2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2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2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2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2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2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2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2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2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2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2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2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2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2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2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2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2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2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2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2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2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2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2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2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2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2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2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2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2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2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2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2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2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2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2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2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2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2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2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2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2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2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2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2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2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2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2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2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2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2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2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2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2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2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2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2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2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2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2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2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2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2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2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2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2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2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2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2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2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2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2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2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2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2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2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2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2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2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2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2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2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2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2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2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2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2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2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2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2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2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2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2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2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2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2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2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2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2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2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2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2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2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2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2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2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2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2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2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2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2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2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2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2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2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2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2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2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2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2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2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2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2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2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2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2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2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2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2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2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2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2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2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2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2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2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2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2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2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2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2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2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2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2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2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2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2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2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2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2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2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2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2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2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2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2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2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2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2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2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2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2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2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2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2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2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2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2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2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2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2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2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2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2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2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2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2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2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2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2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2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2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2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2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2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2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2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2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2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2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2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2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2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2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2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2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2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2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2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2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2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2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2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2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2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2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2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2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2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2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2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2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2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2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2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2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2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2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2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2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2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2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2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2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2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2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2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2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2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2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2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2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2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2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2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2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2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2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2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2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2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2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2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2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2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2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2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2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2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2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2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2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2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2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2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2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2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2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2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2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2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2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2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2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2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2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2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2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2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2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2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2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2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2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2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2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2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2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2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2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2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2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2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2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2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2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2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2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2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2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2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2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2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2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2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2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2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2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2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2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2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2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2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2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2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2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2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2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2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2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2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2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2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2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2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2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2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2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2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2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2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2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2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2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2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2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2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2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2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2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2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2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2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2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2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2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2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2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2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2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2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2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2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2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2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2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2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2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2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2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2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2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2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2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2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2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2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2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2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2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2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2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2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2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2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2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2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2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2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2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2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2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2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2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2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2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2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2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2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2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2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2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2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2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2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2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2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2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2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2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2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2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2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2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2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2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2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2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2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2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2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2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2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2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2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2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2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2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2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2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2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2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2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2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2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2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2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2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2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2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2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2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2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2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2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2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2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2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2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2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2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2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2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2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2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2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2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2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2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2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2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2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2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2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2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2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2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2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2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2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2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2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2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2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2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2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2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2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2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2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2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2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2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2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2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2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2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2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2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2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2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2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2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2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2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2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2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2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2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2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2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2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2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2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2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2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2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2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2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2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2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2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2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2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2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2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2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2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2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2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2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2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2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2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2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2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2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2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2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2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2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2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2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2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2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2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2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2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2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2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2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2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2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2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2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2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2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2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2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2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2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2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2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2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2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2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2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2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2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2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2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2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2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2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2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2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2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2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2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2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2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2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2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2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2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2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2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2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2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2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2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2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2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2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2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2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2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2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2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2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2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2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2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2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2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2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2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2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2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2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2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2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2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2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2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2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2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2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2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2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2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2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2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2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2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2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2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2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2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2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2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2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2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2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2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2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2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2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2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2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2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2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2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2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2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2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2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2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2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2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2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2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2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2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2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2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2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2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2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2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2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2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2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2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2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2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2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2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2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2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2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2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2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2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2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2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2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2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2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2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2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2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2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2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2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2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2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2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2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2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2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2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2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2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2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2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2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2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2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2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2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2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1BED-4B71-4C0B-893F-6A9E32C13241}">
  <dimension ref="A2:B11"/>
  <sheetViews>
    <sheetView tabSelected="1" workbookViewId="0">
      <selection activeCell="B12" sqref="B12"/>
    </sheetView>
  </sheetViews>
  <sheetFormatPr defaultRowHeight="15" x14ac:dyDescent="0.25"/>
  <sheetData>
    <row r="2" spans="1:2" x14ac:dyDescent="0.25">
      <c r="A2" cm="1">
        <f t="array" ref="A2:A11">_xlfn.SEQUENCE(10)</f>
        <v>1</v>
      </c>
      <c r="B2" t="s">
        <v>532</v>
      </c>
    </row>
    <row r="3" spans="1:2" x14ac:dyDescent="0.25">
      <c r="A3">
        <v>2</v>
      </c>
      <c r="B3" t="s">
        <v>534</v>
      </c>
    </row>
    <row r="4" spans="1:2" x14ac:dyDescent="0.25">
      <c r="A4">
        <v>3</v>
      </c>
      <c r="B4" t="s">
        <v>533</v>
      </c>
    </row>
    <row r="5" spans="1:2" x14ac:dyDescent="0.25">
      <c r="A5">
        <v>4</v>
      </c>
      <c r="B5" t="s">
        <v>535</v>
      </c>
    </row>
    <row r="6" spans="1:2" x14ac:dyDescent="0.25">
      <c r="A6">
        <v>5</v>
      </c>
      <c r="B6" t="s">
        <v>536</v>
      </c>
    </row>
    <row r="7" spans="1:2" x14ac:dyDescent="0.25">
      <c r="A7">
        <v>6</v>
      </c>
      <c r="B7" t="s">
        <v>540</v>
      </c>
    </row>
    <row r="8" spans="1:2" x14ac:dyDescent="0.25">
      <c r="A8">
        <v>7</v>
      </c>
      <c r="B8" t="s">
        <v>592</v>
      </c>
    </row>
    <row r="9" spans="1:2" x14ac:dyDescent="0.25">
      <c r="A9">
        <v>8</v>
      </c>
      <c r="B9" t="s">
        <v>593</v>
      </c>
    </row>
    <row r="10" spans="1:2" x14ac:dyDescent="0.25">
      <c r="A10">
        <v>9</v>
      </c>
      <c r="B10" t="s">
        <v>594</v>
      </c>
    </row>
    <row r="11" spans="1:2" x14ac:dyDescent="0.25">
      <c r="A11">
        <v>10</v>
      </c>
      <c r="B11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Summary</vt:lpstr>
      <vt:lpstr>Calculations</vt:lpstr>
      <vt:lpstr>PT_Charts</vt:lpstr>
      <vt:lpstr>Pivot Tables</vt:lpstr>
      <vt:lpstr>Details_cleaned_work</vt:lpstr>
      <vt:lpstr>Details_cleaned</vt:lpstr>
      <vt:lpstr>Data_Quality_Report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Enefola</dc:creator>
  <cp:lastModifiedBy>Favour Enefola</cp:lastModifiedBy>
  <cp:lastPrinted>2026-09-29T18:06:25Z</cp:lastPrinted>
  <dcterms:created xsi:type="dcterms:W3CDTF">2026-09-26T12:35:40Z</dcterms:created>
  <dcterms:modified xsi:type="dcterms:W3CDTF">2026-09-29T19:26:27Z</dcterms:modified>
</cp:coreProperties>
</file>